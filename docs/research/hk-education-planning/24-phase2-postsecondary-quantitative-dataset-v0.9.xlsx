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閱讀指南" sheetId="1" state="visible" r:id="rId1"/>
    <sheet xmlns:r="http://schemas.openxmlformats.org/officeDocument/2006/relationships" name="量化數據" sheetId="2" state="visible" r:id="rId2"/>
    <sheet xmlns:r="http://schemas.openxmlformats.org/officeDocument/2006/relationships" name="來源登記" sheetId="3" state="visible" r:id="rId3"/>
    <sheet xmlns:r="http://schemas.openxmlformats.org/officeDocument/2006/relationships" name="指標字典" sheetId="4" state="visible" r:id="rId4"/>
    <sheet xmlns:r="http://schemas.openxmlformats.org/officeDocument/2006/relationships" name="待提取" sheetId="5" state="visible" r:id="rId5"/>
    <sheet xmlns:r="http://schemas.openxmlformats.org/officeDocument/2006/relationships" name="學費趨勢" sheetId="6" state="visible" r:id="rId6"/>
    <sheet xmlns:r="http://schemas.openxmlformats.org/officeDocument/2006/relationships" name="DSE2025-26核對" sheetId="7" state="visible" r:id="rId7"/>
    <sheet xmlns:r="http://schemas.openxmlformats.org/officeDocument/2006/relationships" name="S6表2.1活動" sheetId="8" state="visible" r:id="rId8"/>
    <sheet xmlns:r="http://schemas.openxmlformats.org/officeDocument/2006/relationships" name="S6表2.2課程" sheetId="9" state="visible" r:id="rId9"/>
    <sheet xmlns:r="http://schemas.openxmlformats.org/officeDocument/2006/relationships" name="S6表2.3境外" sheetId="10" state="visible" r:id="rId10"/>
    <sheet xmlns:r="http://schemas.openxmlformats.org/officeDocument/2006/relationships" name="S6調查口徑" sheetId="11" state="visible" r:id="rId11"/>
    <sheet xmlns:r="http://schemas.openxmlformats.org/officeDocument/2006/relationships" name="S6年度對照" sheetId="12" state="visible" r:id="rId12"/>
    <sheet xmlns:r="http://schemas.openxmlformats.org/officeDocument/2006/relationships" name="S6圖2.5地點" sheetId="13" state="visible" r:id="rId13"/>
    <sheet xmlns:r="http://schemas.openxmlformats.org/officeDocument/2006/relationships" name="S6五年趨勢" sheetId="14" state="visible" r:id="rId14"/>
    <sheet xmlns:r="http://schemas.openxmlformats.org/officeDocument/2006/relationships" name="JUPAS主輪核對" sheetId="15" state="visible" r:id="rId15"/>
    <sheet xmlns:r="http://schemas.openxmlformats.org/officeDocument/2006/relationships" name="UGC入讀途徑" sheetId="16" state="visible" r:id="rId16"/>
    <sheet xmlns:r="http://schemas.openxmlformats.org/officeDocument/2006/relationships" name="JUPAS重審結果" sheetId="17" state="visible" r:id="rId17"/>
    <sheet xmlns:r="http://schemas.openxmlformats.org/officeDocument/2006/relationships" name="母體交叉表" sheetId="18" state="visible" r:id="rId18"/>
    <sheet xmlns:r="http://schemas.openxmlformats.org/officeDocument/2006/relationships" name="SNDAS2026結果" sheetId="19" state="visible" r:id="rId19"/>
    <sheet xmlns:r="http://schemas.openxmlformats.org/officeDocument/2006/relationships" name="SNDAS2027規則" sheetId="20" state="visible" r:id="rId20"/>
  </sheets>
  <definedNames>
    <definedName name="_xlnm._FilterDatabase" localSheetId="1" hidden="1">'量化數據'!$A$1:$N$298</definedName>
    <definedName name="_xlnm._FilterDatabase" localSheetId="2" hidden="1">'來源登記'!$A$1:$H$31</definedName>
    <definedName name="_xlnm._FilterDatabase" localSheetId="3" hidden="1">'指標字典'!$A$1:$D$13</definedName>
    <definedName name="_xlnm._FilterDatabase" localSheetId="4" hidden="1">'待提取'!$A$1:$F$9</definedName>
    <definedName name="_xlnm._FilterDatabase" localSheetId="17" hidden="1">'母體交叉表'!$A$1:$P$29</definedName>
    <definedName name="_xlnm._FilterDatabase" localSheetId="18" hidden="1">'SNDAS2026結果'!$A$1:$L$8</definedName>
    <definedName name="_xlnm._FilterDatabase" localSheetId="19" hidden="1">'SNDAS2027規則'!$A$1:$F$8</definedName>
  </definedNames>
</workbook>
</file>

<file path=xl/styles.xml><?xml version="1.0" encoding="utf-8"?>
<styleSheet xmlns="http://schemas.openxmlformats.org/spreadsheetml/2006/main">
  <numFmts count="0"/>
  <fonts count="17">
    <font>
      <name val="Calibri"/>
      <color theme="1"/>
      <sz val="11"/>
    </font>
    <font>
      <b val="1"/>
      <color rgb="FFFFFFFF"/>
      <sz val="16"/>
    </font>
    <font>
      <b val="1"/>
      <color rgb="FF12304A"/>
    </font>
    <font>
      <name val="Calibri"/>
      <color theme="10"/>
      <sz val="12"/>
    </font>
    <font>
      <b val="1"/>
      <color rgb="FFFFFFFF"/>
    </font>
    <font>
      <name val="Aptos"/>
      <b val="1"/>
      <color rgb="FFFFFFFF"/>
      <sz val="10"/>
    </font>
    <font>
      <name val="Aptos"/>
      <color rgb="FF17212B"/>
      <sz val="10"/>
    </font>
    <font>
      <name val="Arial"/>
      <color rgb="FF18324A"/>
      <sz val="10"/>
    </font>
    <font>
      <name val="Arial"/>
      <b val="1"/>
      <color rgb="FFFFFFFF"/>
      <sz val="10"/>
    </font>
    <font>
      <name val="Arial"/>
      <b val="1"/>
      <color rgb="FFFFFFFF"/>
      <sz val="14"/>
    </font>
    <font>
      <name val="Arial"/>
      <b val="1"/>
      <color rgb="FF12304A"/>
      <sz val="11"/>
    </font>
    <font>
      <name val="Arial"/>
      <b val="1"/>
      <color rgb="FFFFFFFF"/>
      <sz val="11"/>
    </font>
    <font>
      <name val="Calibri"/>
      <b val="1"/>
      <color rgb="FF12304A"/>
      <sz val="11"/>
    </font>
    <font>
      <name val="Arial"/>
      <color rgb="FF6B4E00"/>
      <sz val="11"/>
    </font>
    <font>
      <name val="Aptos"/>
      <b val="1"/>
      <color rgb="00FFFFFF"/>
    </font>
    <font>
      <b val="1"/>
      <color rgb="0017365D"/>
    </font>
    <font>
      <name val="Aptos Display"/>
      <b val="1"/>
      <color rgb="00FFFFFF"/>
      <sz val="14"/>
    </font>
  </fonts>
  <fills count="16">
    <fill>
      <patternFill/>
    </fill>
    <fill>
      <patternFill patternType="gray125"/>
    </fill>
    <fill>
      <patternFill patternType="solid">
        <fgColor rgb="FF12304A"/>
      </patternFill>
    </fill>
    <fill>
      <patternFill patternType="solid">
        <fgColor rgb="FFEAF1F5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3F6F9"/>
      </patternFill>
    </fill>
    <fill>
      <patternFill patternType="solid">
        <fgColor rgb="FFFFF2CC"/>
      </patternFill>
    </fill>
    <fill>
      <patternFill patternType="solid">
        <fgColor rgb="FF12304A"/>
      </patternFill>
    </fill>
    <fill>
      <patternFill patternType="solid">
        <fgColor rgb="FFF7FAFC"/>
      </patternFill>
    </fill>
    <fill>
      <patternFill patternType="solid">
        <fgColor rgb="FF12304A"/>
      </patternFill>
    </fill>
    <fill>
      <patternFill patternType="solid">
        <fgColor rgb="FFE8F0F6"/>
      </patternFill>
    </fill>
    <fill>
      <patternFill patternType="solid">
        <fgColor rgb="FFFFF4D6"/>
      </patternFill>
    </fill>
    <fill>
      <patternFill patternType="solid">
        <fgColor rgb="0017365D"/>
      </patternFill>
    </fill>
    <fill>
      <patternFill patternType="solid">
        <fgColor rgb="00F3F7FB"/>
      </patternFill>
    </fill>
    <fill>
      <patternFill patternType="solid">
        <fgColor rgb="00D9EAF7"/>
      </patternFill>
    </fill>
  </fills>
  <borders count="10">
    <border/>
    <border>
      <bottom style="medium">
        <color rgb="FF91A9C4"/>
      </bottom>
    </border>
    <border>
      <bottom style="thin">
        <color rgb="FFB8C7D9"/>
      </bottom>
    </border>
    <border>
      <left style="thin">
        <color rgb="FFD6E0E8"/>
      </left>
      <right style="thin">
        <color rgb="FFD6E0E8"/>
      </right>
      <top style="thin">
        <color rgb="FFD6E0E8"/>
      </top>
      <bottom style="thin">
        <color rgb="FFD6E0E8"/>
      </bottom>
    </border>
    <border>
      <top style="thin">
        <color rgb="FFD6E0E8"/>
      </top>
    </border>
    <border>
      <right style="thin">
        <color rgb="FFD6E0E8"/>
      </right>
      <top style="thin">
        <color rgb="FFD6E0E8"/>
      </top>
    </border>
    <border>
      <top style="thin">
        <color rgb="FFD6E0E8"/>
      </top>
      <bottom style="thin">
        <color rgb="FFD6E0E8"/>
      </bottom>
    </border>
    <border>
      <right style="thin">
        <color rgb="FFD6E0E8"/>
      </right>
      <top style="thin">
        <color rgb="FFD6E0E8"/>
      </top>
      <bottom style="thin">
        <color rgb="FFD6E0E8"/>
      </bottom>
    </border>
    <border>
      <bottom style="medium">
        <color rgb="00FFFFFF"/>
      </bottom>
    </border>
    <border>
      <bottom style="thin">
        <color rgb="00D9E1F2"/>
      </bottom>
    </border>
  </borders>
  <cellStyleXfs count="2">
    <xf numFmtId="0" fontId="0" fillId="0" borderId="0"/>
    <xf numFmtId="0" fontId="3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3" borderId="0" applyAlignment="1" pivotButton="0" quotePrefix="0" xfId="1">
      <alignment vertical="top" wrapText="1"/>
    </xf>
    <xf numFmtId="0" fontId="3" fillId="0" borderId="0" applyAlignment="1" pivotButton="0" quotePrefix="0" xfId="1">
      <alignment vertical="top" wrapText="1"/>
    </xf>
    <xf numFmtId="0" fontId="4" fillId="2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6" fillId="5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49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3" fontId="0" fillId="3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3" fontId="0" fillId="3" borderId="0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righ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7" fillId="0" borderId="0" pivotButton="0" quotePrefix="0" xfId="0"/>
    <xf numFmtId="0" fontId="7" fillId="8" borderId="0" pivotButton="0" quotePrefix="0" xfId="0"/>
    <xf numFmtId="0" fontId="8" fillId="8" borderId="0" pivotButton="0" quotePrefix="0" xfId="0"/>
    <xf numFmtId="0" fontId="8" fillId="8" borderId="0" applyAlignment="1" pivotButton="0" quotePrefix="0" xfId="0">
      <alignment wrapText="1"/>
    </xf>
    <xf numFmtId="0" fontId="8" fillId="8" borderId="0" applyAlignment="1" pivotButton="0" quotePrefix="0" xfId="0">
      <alignment horizontal="center" wrapText="1"/>
    </xf>
    <xf numFmtId="0" fontId="8" fillId="8" borderId="0" applyAlignment="1" pivotButton="0" quotePrefix="0" xfId="0">
      <alignment horizontal="center" vertical="center" wrapText="1"/>
    </xf>
    <xf numFmtId="0" fontId="7" fillId="9" borderId="0" pivotButton="0" quotePrefix="0" xfId="0"/>
    <xf numFmtId="0" fontId="7" fillId="9" borderId="0" applyAlignment="1" pivotButton="0" quotePrefix="0" xfId="0">
      <alignment wrapText="1"/>
    </xf>
    <xf numFmtId="0" fontId="7" fillId="9" borderId="0" applyAlignment="1" pivotButton="0" quotePrefix="0" xfId="0">
      <alignment vertical="center" wrapText="1"/>
    </xf>
    <xf numFmtId="0" fontId="8" fillId="8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vertical="center" wrapText="1"/>
    </xf>
    <xf numFmtId="0" fontId="7" fillId="9" borderId="3" applyAlignment="1" pivotButton="0" quotePrefix="0" xfId="0">
      <alignment horizontal="center" vertical="center" wrapText="1"/>
    </xf>
    <xf numFmtId="3" fontId="7" fillId="9" borderId="3" applyAlignment="1" pivotButton="0" quotePrefix="0" xfId="0">
      <alignment vertical="center" wrapText="1"/>
    </xf>
    <xf numFmtId="10" fontId="7" fillId="9" borderId="3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0" fillId="10" borderId="0" pivotButton="0" quotePrefix="0" xfId="0"/>
    <xf numFmtId="0" fontId="9" fillId="10" borderId="0" pivotButton="0" quotePrefix="0" xfId="0"/>
    <xf numFmtId="0" fontId="9" fillId="10" borderId="0" applyAlignment="1" pivotButton="0" quotePrefix="0" xfId="0">
      <alignment vertical="center"/>
    </xf>
    <xf numFmtId="0" fontId="0" fillId="11" borderId="0" pivotButton="0" quotePrefix="0" xfId="0"/>
    <xf numFmtId="0" fontId="10" fillId="11" borderId="0" pivotButton="0" quotePrefix="0" xfId="0"/>
    <xf numFmtId="0" fontId="11" fillId="10" borderId="0" pivotButton="0" quotePrefix="0" xfId="0"/>
    <xf numFmtId="0" fontId="11" fillId="10" borderId="0" applyAlignment="1" pivotButton="0" quotePrefix="0" xfId="0">
      <alignment wrapText="1"/>
    </xf>
    <xf numFmtId="0" fontId="11" fillId="10" borderId="0" applyAlignment="1" pivotButton="0" quotePrefix="0" xfId="0">
      <alignment horizontal="center" wrapText="1"/>
    </xf>
    <xf numFmtId="0" fontId="11" fillId="10" borderId="0" applyAlignment="1" pivotButton="0" quotePrefix="0" xfId="0">
      <alignment horizontal="center" vertical="center" wrapText="1"/>
    </xf>
    <xf numFmtId="0" fontId="11" fillId="1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0" fillId="0" borderId="3" pivotButton="0" quotePrefix="0" xfId="0"/>
    <xf numFmtId="0" fontId="10" fillId="11" borderId="3" pivotButton="0" quotePrefix="0" xfId="0"/>
    <xf numFmtId="0" fontId="11" fillId="10" borderId="3" applyAlignment="1" pivotButton="0" quotePrefix="0" xfId="0">
      <alignment horizontal="center" wrapText="1"/>
    </xf>
    <xf numFmtId="0" fontId="0" fillId="0" borderId="3" applyAlignment="1" pivotButton="0" quotePrefix="0" xfId="0">
      <alignment horizontal="center" vertical="center" wrapText="1"/>
    </xf>
    <xf numFmtId="3" fontId="0" fillId="0" borderId="3" applyAlignment="1" pivotButton="0" quotePrefix="0" xfId="0">
      <alignment vertical="center" wrapText="1"/>
    </xf>
    <xf numFmtId="10" fontId="0" fillId="0" borderId="3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3" applyAlignment="1" pivotButton="0" quotePrefix="0" xfId="0">
      <alignment vertical="center" wrapText="1"/>
    </xf>
    <xf numFmtId="3" fontId="12" fillId="0" borderId="3" applyAlignment="1" pivotButton="0" quotePrefix="0" xfId="0">
      <alignment vertical="center" wrapText="1"/>
    </xf>
    <xf numFmtId="10" fontId="12" fillId="0" borderId="3" applyAlignment="1" pivotButton="0" quotePrefix="0" xfId="0">
      <alignment vertical="center" wrapText="1"/>
    </xf>
    <xf numFmtId="0" fontId="0" fillId="12" borderId="0" pivotButton="0" quotePrefix="0" xfId="0"/>
    <xf numFmtId="0" fontId="13" fillId="12" borderId="0" pivotButton="0" quotePrefix="0" xfId="0"/>
    <xf numFmtId="0" fontId="13" fillId="12" borderId="0" applyAlignment="1" pivotButton="0" quotePrefix="0" xfId="0">
      <alignment wrapText="1"/>
    </xf>
    <xf numFmtId="0" fontId="16" fillId="13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15" fillId="15" borderId="0" applyAlignment="1" pivotButton="0" quotePrefix="0" xfId="0">
      <alignment vertical="top" wrapText="1"/>
    </xf>
    <xf numFmtId="0" fontId="14" fillId="13" borderId="8" applyAlignment="1" pivotButton="0" quotePrefix="0" xfId="0">
      <alignment vertical="center" wrapText="1"/>
    </xf>
    <xf numFmtId="0" fontId="0" fillId="14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3" fontId="0" fillId="3" borderId="0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right" vertical="center" wrapText="1"/>
    </xf>
    <xf numFmtId="3" fontId="7" fillId="9" borderId="3" applyAlignment="1" pivotButton="0" quotePrefix="0" xfId="0">
      <alignment vertical="center" wrapText="1"/>
    </xf>
    <xf numFmtId="10" fontId="7" fillId="9" borderId="3" applyAlignment="1" pivotButton="0" quotePrefix="0" xfId="0">
      <alignment vertical="center" wrapText="1"/>
    </xf>
    <xf numFmtId="3" fontId="0" fillId="0" borderId="3" applyAlignment="1" pivotButton="0" quotePrefix="0" xfId="0">
      <alignment vertical="center" wrapText="1"/>
    </xf>
    <xf numFmtId="10" fontId="0" fillId="0" borderId="3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3" fontId="12" fillId="0" borderId="3" applyAlignment="1" pivotButton="0" quotePrefix="0" xfId="0">
      <alignment vertical="center" wrapText="1"/>
    </xf>
    <xf numFmtId="10" fontId="12" fillId="0" borderId="3" applyAlignment="1" pivotButton="0" quotePrefix="0" xfId="0">
      <alignment vertical="center" wrapText="1"/>
    </xf>
  </cellXfs>
  <cellStyles count="2">
    <cellStyle name="Normal" xfId="0"/>
    <cellStyle name="Hyperlink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UGC資助課程標準年學費（港幣）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'學費趨勢'!B1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'學費趨勢'!$A$2:$A$5</f>
              <strCache>
                <ptCount val="0"/>
              </strCache>
            </strRef>
          </cat>
          <val>
            <numRef>
              <f>'學費趨勢'!$B$2:$B$5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strRef>
              <f>'學費趨勢'!C1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'學費趨勢'!$A$2:$A$5</f>
              <strCache>
                <ptCount val="0"/>
              </strCache>
            </strRef>
          </cat>
          <val>
            <numRef>
              <f>'學費趨勢'!$C$2:$C$5</f>
              <numCache>
                <formatCode>General</formatCode>
                <ptCount val="0"/>
              </numCache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學年</a:t>
                </a:r>
              </a:p>
            </rich>
          </tx>
        </title>
        <numFmt formatCode="General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HKD／學年</a:t>
                </a:r>
              </a:p>
            </rich>
          </tx>
        </title>
        <numFmt formatCode="General" sourceLinked="0"/>
        <majorTickMark val="none"/>
        <minorTickMark val="none"/>
        <crossAx val="10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ostsecondaryMetrics" displayName="PostsecondaryMetrics" ref="A1:N39" headerRowCount="1">
  <autoFilter ref="A1:N39"/>
  <tableColumns count="14">
    <tableColumn id="1" name="指標ID"/>
    <tableColumn id="2" name="指標名稱"/>
    <tableColumn id="3" name="年度／學年"/>
    <tableColumn id="4" name="學段"/>
    <tableColumn id="5" name="統計母體"/>
    <tableColumn id="6" name="分子"/>
    <tableColumn id="7" name="分母"/>
    <tableColumn id="8" name="數值"/>
    <tableColumn id="9" name="單位"/>
    <tableColumn id="10" name="數值性質"/>
    <tableColumn id="11" name="來源ID"/>
    <tableColumn id="12" name="來源位置"/>
    <tableColumn id="13" name="比較限制／備註"/>
    <tableColumn id="14" name="核驗狀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Register" displayName="SourceRegister" ref="A1:H11" headerRowCount="1">
  <autoFilter ref="A1:H11"/>
  <tableColumns count="8">
    <tableColumn id="1" name="來源ID"/>
    <tableColumn id="2" name="發布機構"/>
    <tableColumn id="3" name="文件／頁面"/>
    <tableColumn id="4" name="官方網址"/>
    <tableColumn id="5" name="發布／更新日期"/>
    <tableColumn id="6" name="適用期間"/>
    <tableColumn id="7" name="支持的數字／主張"/>
    <tableColumn id="8" name="限制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dicatorDictionary" displayName="IndicatorDictionary" ref="A1:D11" headerRowCount="1">
  <autoFilter ref="A1:D11"/>
  <tableColumns count="4">
    <tableColumn id="1" name="指標ID／類別"/>
    <tableColumn id="2" name="定義／計算"/>
    <tableColumn id="3" name="分母規則"/>
    <tableColumn id="4" name="可比性提醒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endingExtraction" displayName="PendingExtraction" ref="A1:F7" headerRowCount="1">
  <autoFilter ref="A1:F7"/>
  <tableColumns count="6">
    <tableColumn id="1" name="待辦ID"/>
    <tableColumn id="2" name="資料主題"/>
    <tableColumn id="3" name="官方來源／表號"/>
    <tableColumn id="4" name="要提取的欄位"/>
    <tableColumn id="5" name="目前狀態"/>
    <tableColumn id="6" name="缺口／驗收條件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taTable21" displayName="DataTable21" ref="A1:N21" headerRowCount="1">
  <autoFilter ref="A1:N21"/>
  <tableColumns count="14">
    <tableColumn id="1" name="source_id"/>
    <tableColumn id="2" name="table_id"/>
    <tableColumn id="3" name="printed_page"/>
    <tableColumn id="4" name="pdf_page"/>
    <tableColumn id="5" name="reference_period"/>
    <tableColumn id="6" name="school_sector"/>
    <tableColumn id="7" name="activity_status"/>
    <tableColumn id="8" name="programme_type"/>
    <tableColumn id="9" name="place_of_study"/>
    <tableColumn id="10" name="count_reported"/>
    <tableColumn id="11" name="proportion_reported"/>
    <tableColumn id="12" name="denominator"/>
    <tableColumn id="13" name="cell_status"/>
    <tableColumn id="14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Table22" displayName="DataTable22" ref="A1:N21" headerRowCount="1">
  <autoFilter ref="A1:N21"/>
  <tableColumns count="14">
    <tableColumn id="1" name="source_id"/>
    <tableColumn id="2" name="table_id"/>
    <tableColumn id="3" name="printed_page"/>
    <tableColumn id="4" name="pdf_page"/>
    <tableColumn id="5" name="reference_period"/>
    <tableColumn id="6" name="school_sector"/>
    <tableColumn id="7" name="activity_status"/>
    <tableColumn id="8" name="programme_type"/>
    <tableColumn id="9" name="place_of_study"/>
    <tableColumn id="10" name="count_reported"/>
    <tableColumn id="11" name="proportion_reported"/>
    <tableColumn id="12" name="denominator"/>
    <tableColumn id="13" name="cell_status"/>
    <tableColumn id="14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taTable23" displayName="DataTable23" ref="A1:N33" headerRowCount="1">
  <autoFilter ref="A1:N33"/>
  <tableColumns count="14">
    <tableColumn id="1" name="source_id"/>
    <tableColumn id="2" name="table_id"/>
    <tableColumn id="3" name="printed_page"/>
    <tableColumn id="4" name="pdf_page"/>
    <tableColumn id="5" name="reference_period"/>
    <tableColumn id="6" name="school_sector"/>
    <tableColumn id="7" name="activity_status"/>
    <tableColumn id="8" name="programme_type"/>
    <tableColumn id="9" name="place_of_study"/>
    <tableColumn id="10" name="count_reported"/>
    <tableColumn id="11" name="proportion_reported"/>
    <tableColumn id="12" name="denominator"/>
    <tableColumn id="13" name="cell_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6SurveyScope2025" displayName="S6SurveyScope2025" ref="A1:E12" headerRowCount="1">
  <autoFilter ref="A1:E12"/>
  <tableColumns count="5">
    <tableColumn id="1" name="項目"/>
    <tableColumn id="2" name="EDB公布值／定義"/>
    <tableColumn id="3" name="單位"/>
    <tableColumn id="4" name="來源位置"/>
    <tableColumn id="5" name="解讀與限制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hkeaa.edu.hk/DocLibrary/Media/PR/HKDSE26_ResultsReleased_en.pdf" TargetMode="External" Id="rId1"/><Relationship Type="http://schemas.openxmlformats.org/officeDocument/2006/relationships/hyperlink" Target="https://www.jupas.edu.hk/en/about-jupas/publicity-materials-satistics-press-release/main-round-offer/" TargetMode="External" Id="rId2"/><Relationship Type="http://schemas.openxmlformats.org/officeDocument/2006/relationships/hyperlink" Target="https://www.jupas.edu.hk/en/sssdp/further-information/offer-statistics/main-round-offer-statistics/" TargetMode="External" Id="rId3"/><Relationship Type="http://schemas.openxmlformats.org/officeDocument/2006/relationships/hyperlink" Target="https://www.edb.gov.hk/en/edu-system/postsecondary/local-higher-edu/publicly-funded-programmes/index.html" TargetMode="External" Id="rId4"/><Relationship Type="http://schemas.openxmlformats.org/officeDocument/2006/relationships/hyperlink" Target="https://www.info.gov.hk/gia/general/202609/21/P2026092100224.htm" TargetMode="External" Id="rId5"/><Relationship Type="http://schemas.openxmlformats.org/officeDocument/2006/relationships/hyperlink" Target="https://www.edb.gov.hk/en/edu-system/postsecondary/policy-doc/SNDAS/designatedprogrammes_2027-28.html" TargetMode="External" Id="rId6"/><Relationship Type="http://schemas.openxmlformats.org/officeDocument/2006/relationships/hyperlink" Target="https://www.info.gov.hk/gia/general/202406/20/P2024062000254.htm" TargetMode="External" Id="rId7"/><Relationship Type="http://schemas.openxmlformats.org/officeDocument/2006/relationships/hyperlink" Target="https://www.wfsfaa.gov.hk/en/sfo/postsecondary/fasp/level.php" TargetMode="External" Id="rId8"/><Relationship Type="http://schemas.openxmlformats.org/officeDocument/2006/relationships/hyperlink" Target="https://www.info.gov.hk/gia/general/202512/01/P2025120100297.htm" TargetMode="External" Id="rId9"/><Relationship Type="http://schemas.openxmlformats.org/officeDocument/2006/relationships/hyperlink" Target="https://www.edb.gov.hk/attachment/en/about-edb/publications-stat/figures/S6_25.pdf" TargetMode="External" Id="rId10"/><Relationship Type="http://schemas.openxmlformats.org/officeDocument/2006/relationships/hyperlink" Target="https://www.hkeaa.edu.hk/DocLibrary/HKDSE/Exam_Report/Examination_Statistics/2025_HKDSE_results_statistics_table3d_en.csv" TargetMode="External" Id="rId11"/><Relationship Type="http://schemas.openxmlformats.org/officeDocument/2006/relationships/hyperlink" Target="https://www.edb.gov.hk/attachment/en/about-edb/publications-stat/figures/S6_21.pdf" TargetMode="External" Id="rId12"/><Relationship Type="http://schemas.openxmlformats.org/officeDocument/2006/relationships/hyperlink" Target="https://www.edb.gov.hk/attachment/en/about-edb/publications-stat/figures/S6_22.pdf" TargetMode="External" Id="rId13"/><Relationship Type="http://schemas.openxmlformats.org/officeDocument/2006/relationships/hyperlink" Target="https://www.edb.gov.hk/attachment/en/about-edb/publications-stat/figures/S6_23.pdf" TargetMode="External" Id="rId14"/><Relationship Type="http://schemas.openxmlformats.org/officeDocument/2006/relationships/hyperlink" Target="https://www.edb.gov.hk/attachment/en/about-edb/publications-stat/figures/S6_24.pdf" TargetMode="External" Id="rId15"/><Relationship Type="http://schemas.openxmlformats.org/officeDocument/2006/relationships/hyperlink" Target="https://www.edb.gov.hk/en/about-edb/publications-stat/figures/index_2.html" TargetMode="External" Id="rId16"/><Relationship Type="http://schemas.openxmlformats.org/officeDocument/2006/relationships/hyperlink" Target="https://www.hkeaa.edu.hk/en/HKDSE/assessment/exam_reports/exam_stat/" TargetMode="External" Id="rId17"/><Relationship Type="http://schemas.openxmlformats.org/officeDocument/2006/relationships/hyperlink" Target="https://www.jupas.edu.hk/en/application-procedures/post-hkdse-exam-results-announcement/main-round-offer/" TargetMode="External" Id="rId18"/><Relationship Type="http://schemas.openxmlformats.org/officeDocument/2006/relationships/hyperlink" Target="https://www.jupas.edu.hk/en/about-jupas/publicity-materials-satistics-press-release/main-round-offer/" TargetMode="External" Id="rId19"/><Relationship Type="http://schemas.openxmlformats.org/officeDocument/2006/relationships/hyperlink" Target="https://www.info.gov.hk/gia/general/202411/27/P2024112700195.htm" TargetMode="External" Id="rId20"/><Relationship Type="http://schemas.openxmlformats.org/officeDocument/2006/relationships/hyperlink" Target="https://www.info.gov.hk/gia/general/202503/19/P2025031900471p.htm" TargetMode="External" Id="rId21"/><Relationship Type="http://schemas.openxmlformats.org/officeDocument/2006/relationships/hyperlink" Target="https://www.jupas.edu.hk/en/page/detail/13771/" TargetMode="External" Id="rId22"/><Relationship Type="http://schemas.openxmlformats.org/officeDocument/2006/relationships/hyperlink" Target="https://www.jupas.edu.hk/misc/MR/course_info/JS6626.htm" TargetMode="External" Id="rId23"/><Relationship Type="http://schemas.openxmlformats.org/officeDocument/2006/relationships/hyperlink" Target="https://www.jupas.edu.hk/en/about-jupas/publicity-materials-satistics-press-release/offer-results-after-reconsideration/" TargetMode="External" Id="rId24"/><Relationship Type="http://schemas.openxmlformats.org/officeDocument/2006/relationships/hyperlink" Target="https://www.info.gov.hk/gia/general/202607/09/P2026070900208p.htm" TargetMode="External" Id="rId25"/><Relationship Type="http://schemas.openxmlformats.org/officeDocument/2006/relationships/hyperlink" Target="https://www.edb.gov.hk/en/edu-system/postsecondary/policy-doc/SNDAS/index.html" TargetMode="External" Id="rId26"/><Relationship Type="http://schemas.openxmlformats.org/officeDocument/2006/relationships/hyperlink" Target="https://www.edb.gov.hk/en/edu-system/postsecondary/policy-doc/SNDAS/designatedprogrammes_2027-28.html" TargetMode="External" Id="rId27"/><Relationship Type="http://schemas.openxmlformats.org/officeDocument/2006/relationships/hyperlink" Target="https://www.jupas.edu.hk/en/eligibility/eligibility-requirements/cati-5-requirements-and-supporting-documents/" TargetMode="External" Id="rId28"/><Relationship Type="http://schemas.openxmlformats.org/officeDocument/2006/relationships/hyperlink" Target="https://www.info.gov.hk/gia/general/202609/24/P2026092400222.htm" TargetMode="External" Id="rId29"/><Relationship Type="http://schemas.openxmlformats.org/officeDocument/2006/relationships/hyperlink" Target="https://www.edb.gov.hk/attachment/en/edu-system/postsecondary/policy-doc/SNDAS/2027-28/SNDAS_FAQs_EN.pdf" TargetMode="External" Id="rId30"/><Relationship Type="http://schemas.openxmlformats.org/officeDocument/2006/relationships/table" Target="/xl/tables/table2.xml" Id="rId3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0" customHeight="1">
      <c r="A1" s="73" t="inlineStr">
        <is>
          <t>香港教育規劃｜中學後官方數據集 v0.9</t>
        </is>
      </c>
      <c r="B1" s="74" t="inlineStr"/>
    </row>
    <row r="2" ht="42" customHeight="1">
      <c r="A2" s="75" t="inlineStr">
        <is>
          <t>研究基準日</t>
        </is>
      </c>
      <c r="B2" s="19" t="inlineStr">
        <is>
          <t>2026-10-10（香港時間）</t>
        </is>
      </c>
    </row>
    <row r="3" ht="42" customHeight="1">
      <c r="A3" s="75" t="inlineStr">
        <is>
          <t>目的</t>
        </is>
      </c>
      <c r="B3" s="19" t="inlineStr">
        <is>
          <t>整合HKDSE、JUPAS、EDB S6、UGC入讀途徑及SNDAS公開統計；支援香港教育規劃研究，不代表全港每位學生的升學機率。</t>
        </is>
      </c>
    </row>
    <row r="4" ht="42" customHeight="1">
      <c r="A4" s="75" t="inlineStr">
        <is>
          <t>資料版本</t>
        </is>
      </c>
      <c r="B4" s="19" t="inlineStr">
        <is>
          <t>本工作簿為v0.9整合版：postsecondary-metrics-v0.9.csv（297列）、source-register-v0.9.csv（30列）、postsecondary-population-crosswalk-v0.3.csv（28列）。保留舊版工作簿與CSV，不覆蓋。</t>
        </is>
      </c>
    </row>
    <row r="5" ht="42" customHeight="1">
      <c r="A5" s="75" t="inlineStr">
        <is>
          <t>資料原則</t>
        </is>
      </c>
      <c r="B5" s="19" t="inlineStr">
        <is>
          <t>一列一指標×年度×母體；保存原始分子／分母及來源定位；空白代表未提取／不適用／未公布，不得解讀為0。</t>
        </is>
      </c>
    </row>
    <row r="6" ht="42" customHeight="1">
      <c r="A6" s="75" t="inlineStr">
        <is>
          <t>EDB S6涵蓋</t>
        </is>
      </c>
      <c r="B6" s="19" t="inlineStr">
        <is>
          <t>S6 Tables 2.1–2.3及Chart 2.5已整理2021–2025；跨年分類變更分段處理，保密格不推算。後續年度待官方公布後增補。</t>
        </is>
      </c>
    </row>
    <row r="7" ht="42" customHeight="1">
      <c r="A7" s="75" t="inlineStr">
        <is>
          <t>HKDSE分母限制</t>
        </is>
      </c>
      <c r="B7" s="19" t="inlineStr">
        <is>
          <t>2026年30,977／約73.2%所用母體為曾應考相關入學要求科目的日校考生子群；精確子群人數未核實，不得以全體No. sat=43,347替代。詳見報告19。</t>
        </is>
      </c>
    </row>
    <row r="8" ht="42" customHeight="1">
      <c r="A8" s="75" t="inlineStr">
        <is>
          <t>JUPAS口徑</t>
        </is>
      </c>
      <c r="B8" s="19" t="inlineStr">
        <is>
          <t>Main Round offer、接受offer／繳費、完成院校註冊及實際入讀是不同節點。一般Main Round與SSSDP官方分表不任意相加；詳見報告22。</t>
        </is>
      </c>
    </row>
    <row r="9" ht="42" customHeight="1">
      <c r="A9" s="75" t="inlineStr">
        <is>
          <t>SNDAS口徑</t>
        </is>
      </c>
      <c r="B9" s="19" t="inlineStr">
        <is>
          <t>2026年第五屆的有效提名、直接offer及接受數均按官方計劃子群記錄；接受offer不等於已核實註冊／入讀。詳見報告23及SNDAS兩張資料表。</t>
        </is>
      </c>
    </row>
    <row r="10" ht="42" customHeight="1">
      <c r="A10" s="75" t="inlineStr">
        <is>
          <t>年度限制</t>
        </is>
      </c>
      <c r="B10" s="19" t="inlineStr">
        <is>
          <t>費用／名額／招生數據只適用欄列學年；不可將2026/27、2027/28資料外推到其他年度。</t>
        </is>
      </c>
    </row>
    <row r="11" ht="42" customHeight="1">
      <c r="A11" s="75" t="inlineStr">
        <is>
          <t>待辦摘要</t>
        </is>
      </c>
      <c r="B11" s="19" t="inlineStr">
        <is>
          <t>精確HKDSE分母、JUPAS全體接受／註冊aggregate、SNDAS附件及實際註冊、畢業生去向、課程級非聯招與全港跨學段供需序列仍待核實／整合；見「待提取」。</t>
        </is>
      </c>
    </row>
    <row r="12" ht="42" customHeight="1">
      <c r="A12" s="75" t="inlineStr">
        <is>
          <t>歷史版本</t>
        </is>
      </c>
      <c r="B12" s="19" t="inlineStr">
        <is>
          <t>v0.1–v0.8均保留；v0.8不覆蓋。本版新增v0.9指標來源與交叉表，更新待辦狀態並納入SNDAS資料。</t>
        </is>
      </c>
    </row>
    <row r="13" ht="42" customHeight="1">
      <c r="A13" s="75" t="inlineStr">
        <is>
          <t>原始來源檔</t>
        </is>
      </c>
      <c r="B13" s="19" t="inlineStr">
        <is>
          <t>source-files/S6_21.pdf 至 S6_25.PDF及其版面文字抽取；各官方來源URL見「來源登記」。</t>
        </is>
      </c>
    </row>
    <row r="14" ht="42" customHeight="1">
      <c r="A14" s="75" t="inlineStr">
        <is>
          <t>資料抑制規則</t>
        </is>
      </c>
      <c r="B14" s="19" t="inlineStr">
        <is>
          <t>EDB表格以「..」標示的保密格保持空缺；不反推、不補值。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15" customWidth="1" min="3" max="3"/>
    <col width="27" customWidth="1" min="4" max="4"/>
    <col width="48" customWidth="1" min="5" max="5"/>
    <col width="15" customWidth="1" min="6" max="6"/>
    <col width="15" customWidth="1" min="7" max="7"/>
    <col width="18" customWidth="1" min="8" max="8"/>
    <col width="14" customWidth="1" min="9" max="9"/>
    <col width="24" customWidth="1" min="10" max="10"/>
    <col width="30" customWidth="1" min="11" max="11"/>
    <col width="42" customWidth="1" min="12" max="12"/>
    <col width="75" customWidth="1" min="13" max="13"/>
    <col width="30" customWidth="1" min="14" max="14"/>
  </cols>
  <sheetData>
    <row r="1" ht="32" customHeight="1">
      <c r="A1" s="76" t="inlineStr">
        <is>
          <t>indicator_id</t>
        </is>
      </c>
      <c r="B1" s="76" t="inlineStr">
        <is>
          <t>indicator_name</t>
        </is>
      </c>
      <c r="C1" s="76" t="inlineStr">
        <is>
          <t>year</t>
        </is>
      </c>
      <c r="D1" s="76" t="inlineStr">
        <is>
          <t>stage</t>
        </is>
      </c>
      <c r="E1" s="76" t="inlineStr">
        <is>
          <t>population_scope</t>
        </is>
      </c>
      <c r="F1" s="76" t="inlineStr">
        <is>
          <t>numerator</t>
        </is>
      </c>
      <c r="G1" s="76" t="inlineStr">
        <is>
          <t>denominator</t>
        </is>
      </c>
      <c r="H1" s="76" t="inlineStr">
        <is>
          <t>value</t>
        </is>
      </c>
      <c r="I1" s="76" t="inlineStr">
        <is>
          <t>unit</t>
        </is>
      </c>
      <c r="J1" s="76" t="inlineStr">
        <is>
          <t>value_type</t>
        </is>
      </c>
      <c r="K1" s="76" t="inlineStr">
        <is>
          <t>source_id</t>
        </is>
      </c>
      <c r="L1" s="76" t="inlineStr">
        <is>
          <t>source_location</t>
        </is>
      </c>
      <c r="M1" s="76" t="inlineStr">
        <is>
          <t>comparability_notes</t>
        </is>
      </c>
      <c r="N1" s="76" t="inlineStr">
        <is>
          <t>verification_status</t>
        </is>
      </c>
    </row>
    <row r="2" ht="30" customHeight="1">
      <c r="A2" s="77" t="inlineStr">
        <is>
          <t>HKDSE_REGISTERED</t>
        </is>
      </c>
      <c r="B2" s="77" t="inlineStr">
        <is>
          <t>HKDSE報考考生總數</t>
        </is>
      </c>
      <c r="C2" s="77" t="inlineStr">
        <is>
          <t>2026</t>
        </is>
      </c>
      <c r="D2" s="77" t="inlineStr">
        <is>
          <t>公開考試</t>
        </is>
      </c>
      <c r="E2" s="77" t="inlineStr">
        <is>
          <t>全體報考考生</t>
        </is>
      </c>
      <c r="F2" s="77" t="inlineStr">
        <is>
          <t>58487</t>
        </is>
      </c>
      <c r="G2" s="77" t="inlineStr"/>
      <c r="H2" s="77" t="inlineStr">
        <is>
          <t>58487</t>
        </is>
      </c>
      <c r="I2" s="77" t="inlineStr">
        <is>
          <t>人</t>
        </is>
      </c>
      <c r="J2" s="77" t="inlineStr">
        <is>
          <t>官方照錄</t>
        </is>
      </c>
      <c r="K2" s="77" t="inlineStr">
        <is>
          <t>HKDSE26</t>
        </is>
      </c>
      <c r="L2" s="77" t="inlineStr">
        <is>
          <t>Results Released: candidature statistics</t>
        </is>
      </c>
      <c r="M2" s="77" t="inlineStr">
        <is>
          <t>總數可由學校考生與私人考生相加核對。</t>
        </is>
      </c>
      <c r="N2" s="77" t="inlineStr">
        <is>
          <t>已核對來源；待獨立複算</t>
        </is>
      </c>
    </row>
    <row r="3" ht="30" customHeight="1">
      <c r="A3" s="78" t="inlineStr">
        <is>
          <t>HKDSE_SCHOOL_CANDIDATES</t>
        </is>
      </c>
      <c r="B3" s="78" t="inlineStr">
        <is>
          <t>學校考生</t>
        </is>
      </c>
      <c r="C3" s="78" t="inlineStr">
        <is>
          <t>2026</t>
        </is>
      </c>
      <c r="D3" s="78" t="inlineStr">
        <is>
          <t>公開考試</t>
        </is>
      </c>
      <c r="E3" s="78" t="inlineStr">
        <is>
          <t>學校考生</t>
        </is>
      </c>
      <c r="F3" s="78" t="inlineStr">
        <is>
          <t>46344</t>
        </is>
      </c>
      <c r="G3" s="78" t="inlineStr"/>
      <c r="H3" s="78" t="inlineStr">
        <is>
          <t>46344</t>
        </is>
      </c>
      <c r="I3" s="78" t="inlineStr">
        <is>
          <t>人</t>
        </is>
      </c>
      <c r="J3" s="78" t="inlineStr">
        <is>
          <t>官方照錄</t>
        </is>
      </c>
      <c r="K3" s="78" t="inlineStr">
        <is>
          <t>HKDSE26</t>
        </is>
      </c>
      <c r="L3" s="78" t="inlineStr">
        <is>
          <t>同上</t>
        </is>
      </c>
      <c r="M3" s="78" t="inlineStr">
        <is>
          <t>不是所有學生總數，也不等於日校考生數。</t>
        </is>
      </c>
      <c r="N3" s="78" t="inlineStr">
        <is>
          <t>已核對來源；待獨立複算</t>
        </is>
      </c>
    </row>
    <row r="4" ht="30" customHeight="1">
      <c r="A4" s="77" t="inlineStr">
        <is>
          <t>HKDSE_PRIVATE_CANDIDATES</t>
        </is>
      </c>
      <c r="B4" s="77" t="inlineStr">
        <is>
          <t>私人考生</t>
        </is>
      </c>
      <c r="C4" s="77" t="inlineStr">
        <is>
          <t>2026</t>
        </is>
      </c>
      <c r="D4" s="77" t="inlineStr">
        <is>
          <t>公開考試</t>
        </is>
      </c>
      <c r="E4" s="77" t="inlineStr">
        <is>
          <t>私人考生</t>
        </is>
      </c>
      <c r="F4" s="77" t="inlineStr">
        <is>
          <t>12143</t>
        </is>
      </c>
      <c r="G4" s="77" t="inlineStr"/>
      <c r="H4" s="77" t="inlineStr">
        <is>
          <t>12143</t>
        </is>
      </c>
      <c r="I4" s="77" t="inlineStr">
        <is>
          <t>人</t>
        </is>
      </c>
      <c r="J4" s="77" t="inlineStr">
        <is>
          <t>官方照錄</t>
        </is>
      </c>
      <c r="K4" s="77" t="inlineStr">
        <is>
          <t>HKDSE26</t>
        </is>
      </c>
      <c r="L4" s="77" t="inlineStr">
        <is>
          <t>不是所有學生總數，也不等於日校考生數。</t>
        </is>
      </c>
      <c r="M4" s="77" t="inlineStr"/>
      <c r="N4" s="77" t="inlineStr">
        <is>
          <t>已核對來源；待獨立複算</t>
        </is>
      </c>
    </row>
    <row r="5" ht="30" customHeight="1">
      <c r="A5" s="78" t="inlineStr">
        <is>
          <t>HKDSE_332A_2E3_COUNT</t>
        </is>
      </c>
      <c r="B5" s="78" t="inlineStr">
        <is>
          <t>達332A及兩選修科第3級或以上的日校考生</t>
        </is>
      </c>
      <c r="C5" s="78" t="inlineStr">
        <is>
          <t>2026</t>
        </is>
      </c>
      <c r="D5" s="78" t="inlineStr">
        <is>
          <t>公開考試</t>
        </is>
      </c>
      <c r="E5" s="78" t="inlineStr">
        <is>
          <t>日校考生；新聞稿公布之成績組合</t>
        </is>
      </c>
      <c r="F5" s="78" t="inlineStr">
        <is>
          <t>15973</t>
        </is>
      </c>
      <c r="G5" s="78" t="inlineStr">
        <is>
          <t>43347</t>
        </is>
      </c>
      <c r="H5" s="78" t="inlineStr">
        <is>
          <t>15973</t>
        </is>
      </c>
      <c r="I5" s="78" t="inlineStr">
        <is>
          <t>人</t>
        </is>
      </c>
      <c r="J5" s="78" t="inlineStr">
        <is>
          <t>官方照錄</t>
        </is>
      </c>
      <c r="K5" s="78" t="inlineStr">
        <is>
          <t>HKDSE26</t>
        </is>
      </c>
      <c r="L5" s="78" t="inlineStr">
        <is>
          <t>2026 results release; candidate performance section</t>
        </is>
      </c>
      <c r="M5" s="78" t="inlineStr">
        <is>
          <t>HKEAA 2026 Results Released附件一Table 1：No. entered=43,534；No. sat=43,347。15,973/43,347=36.849...%，與官方36.8%相符；不是以報考數作分母。 該比率是指定成績組合達標率，不是課程錄取率或個人概率。</t>
        </is>
      </c>
      <c r="N5" s="78" t="inlineStr">
        <is>
          <t>已核對HKEAA附件一No. sat，並以分子／分母複算核驗官方公布值</t>
        </is>
      </c>
    </row>
    <row r="6" ht="30" customHeight="1">
      <c r="A6" s="77" t="inlineStr">
        <is>
          <t>HKDSE_332A_2E3_SHARE</t>
        </is>
      </c>
      <c r="B6" s="77" t="inlineStr">
        <is>
          <t>同一指定成績組合佔日校考生比例</t>
        </is>
      </c>
      <c r="C6" s="77" t="inlineStr">
        <is>
          <t>2026</t>
        </is>
      </c>
      <c r="D6" s="77" t="inlineStr">
        <is>
          <t>公開考試</t>
        </is>
      </c>
      <c r="E6" s="77" t="inlineStr">
        <is>
          <t>日校考生；新聞稿公布之成績組合</t>
        </is>
      </c>
      <c r="F6" s="77" t="inlineStr">
        <is>
          <t>15973</t>
        </is>
      </c>
      <c r="G6" s="77" t="inlineStr">
        <is>
          <t>43347</t>
        </is>
      </c>
      <c r="H6" s="77" t="inlineStr">
        <is>
          <t>36.8</t>
        </is>
      </c>
      <c r="I6" s="77" t="inlineStr">
        <is>
          <t>%</t>
        </is>
      </c>
      <c r="J6" s="77" t="inlineStr">
        <is>
          <t>官方公布比例</t>
        </is>
      </c>
      <c r="K6" s="77" t="inlineStr">
        <is>
          <t>HKDSE26</t>
        </is>
      </c>
      <c r="L6" s="77" t="inlineStr">
        <is>
          <t>2026 results release; candidate performance section</t>
        </is>
      </c>
      <c r="M6" s="77" t="inlineStr">
        <is>
          <t>HKEAA 2026 Results Released附件一Table 1：No. entered=43,534；No. sat=43,347。15,973/43,347=36.849...%，與官方36.8%相符；不是以報考數作分母。 該比率是指定成績組合達標率，不是課程錄取率或個人概率。</t>
        </is>
      </c>
      <c r="N6" s="77" t="inlineStr">
        <is>
          <t>已核對HKEAA附件一No. sat，並以分子／分母複算核驗官方公布值</t>
        </is>
      </c>
    </row>
    <row r="7" ht="30" customHeight="1">
      <c r="A7" s="78" t="inlineStr">
        <is>
          <t>HKDSE_2026_DAY_SCHOOL_ENTERED</t>
        </is>
      </c>
      <c r="B7" s="78" t="inlineStr">
        <is>
          <t>2026 HKDSE日校考生報考人數</t>
        </is>
      </c>
      <c r="C7" s="78" t="inlineStr">
        <is>
          <t>2026</t>
        </is>
      </c>
      <c r="D7" s="78" t="inlineStr">
        <is>
          <t>公開考試</t>
        </is>
      </c>
      <c r="E7" s="78" t="inlineStr">
        <is>
          <t>日校考生；考評局附件所列報考／entered人數</t>
        </is>
      </c>
      <c r="F7" s="78" t="inlineStr">
        <is>
          <t>43534</t>
        </is>
      </c>
      <c r="G7" s="78" t="inlineStr"/>
      <c r="H7" s="78" t="inlineStr">
        <is>
          <t>43534</t>
        </is>
      </c>
      <c r="I7" s="78" t="inlineStr">
        <is>
          <t>人</t>
        </is>
      </c>
      <c r="J7" s="78" t="inlineStr">
        <is>
          <t>官方照錄</t>
        </is>
      </c>
      <c r="K7" s="78" t="inlineStr">
        <is>
          <t>HKDSE26</t>
        </is>
      </c>
      <c r="L7" s="78" t="inlineStr">
        <is>
          <t>2026 results release; Annex 1 candidature statistics (No. entered)</t>
        </is>
      </c>
      <c r="M7" s="78" t="inlineStr">
        <is>
          <t>與已應考人數分開；報考不代表實際應考。</t>
        </is>
      </c>
      <c r="N7" s="78" t="inlineStr">
        <is>
          <t>已核對HKEAA附件一；可與No. sat欄分辨</t>
        </is>
      </c>
    </row>
    <row r="8" ht="30" customHeight="1">
      <c r="A8" s="77" t="inlineStr">
        <is>
          <t>HKDSE_2025_DAY_5AB_BASE</t>
        </is>
      </c>
      <c r="B8" s="77" t="inlineStr">
        <is>
          <t>2025日校考生中至少應考5科甲／乙類科目人數</t>
        </is>
      </c>
      <c r="C8" s="77" t="inlineStr">
        <is>
          <t>2025</t>
        </is>
      </c>
      <c r="D8" s="77" t="inlineStr">
        <is>
          <t>公開考試</t>
        </is>
      </c>
      <c r="E8" s="77" t="inlineStr">
        <is>
          <t>日校考生；至少應考5科甲類／乙類科目（HKEAA Table 3d統計母體）</t>
        </is>
      </c>
      <c r="F8" s="77" t="inlineStr">
        <is>
          <t>42589</t>
        </is>
      </c>
      <c r="G8" s="77" t="inlineStr"/>
      <c r="H8" s="77" t="inlineStr">
        <is>
          <t>42589</t>
        </is>
      </c>
      <c r="I8" s="77" t="inlineStr">
        <is>
          <t>人</t>
        </is>
      </c>
      <c r="J8" s="77" t="inlineStr">
        <is>
          <t>官方照錄</t>
        </is>
      </c>
      <c r="K8" s="77" t="inlineStr">
        <is>
          <t>HKDSE25-STAT3D</t>
        </is>
      </c>
      <c r="L8" s="77" t="inlineStr">
        <is>
          <t>2025 HKDSE Results Statistics, Table 3d; total day-school candidate base</t>
        </is>
      </c>
      <c r="M8" s="77" t="inlineStr">
        <is>
          <t>下列兩個2025比率以此統計母體為分母；不要與2026新聞稿的全體日校已應考者直接視為完全相同口徑。</t>
        </is>
      </c>
      <c r="N8" s="77" t="inlineStr">
        <is>
          <t>已核對HKEAA 2025年詳細結果統計表3d</t>
        </is>
      </c>
    </row>
    <row r="9" ht="30" customHeight="1">
      <c r="A9" s="78" t="inlineStr">
        <is>
          <t>HKDSE_2025_DAY_332A_CORE_COUNT</t>
        </is>
      </c>
      <c r="B9" s="78" t="inlineStr">
        <is>
          <t>2025日校考生核心科達332A人數</t>
        </is>
      </c>
      <c r="C9" s="78" t="inlineStr">
        <is>
          <t>2025</t>
        </is>
      </c>
      <c r="D9" s="78" t="inlineStr">
        <is>
          <t>公開考試</t>
        </is>
      </c>
      <c r="E9" s="78" t="inlineStr">
        <is>
          <t>日校考生；Table 3d母體（至少5科甲／乙類科目）</t>
        </is>
      </c>
      <c r="F9" s="78" t="inlineStr">
        <is>
          <t>19103</t>
        </is>
      </c>
      <c r="G9" s="78" t="inlineStr">
        <is>
          <t>42589</t>
        </is>
      </c>
      <c r="H9" s="78" t="inlineStr">
        <is>
          <t>19103</t>
        </is>
      </c>
      <c r="I9" s="78" t="inlineStr">
        <is>
          <t>人</t>
        </is>
      </c>
      <c r="J9" s="78" t="inlineStr">
        <is>
          <t>官方照錄</t>
        </is>
      </c>
      <c r="K9" s="78" t="inlineStr">
        <is>
          <t>HKDSE25-STAT3D</t>
        </is>
      </c>
      <c r="L9" s="78" t="inlineStr">
        <is>
          <t>2025 HKDSE Results Statistics, Table 3d; core subjects at 332A or better</t>
        </is>
      </c>
      <c r="M9" s="78" t="inlineStr">
        <is>
          <t>只要求四個核心科達332A；不等於再加兩個選修科第3級的較嚴格組合。</t>
        </is>
      </c>
      <c r="N9" s="78" t="inlineStr">
        <is>
          <t>已核對HKEAA原表；19103/42589=44.9%（一位小數）</t>
        </is>
      </c>
    </row>
    <row r="10" ht="30" customHeight="1">
      <c r="A10" s="77" t="inlineStr">
        <is>
          <t>HKDSE_2025_DAY_332A_CORE_SHARE</t>
        </is>
      </c>
      <c r="B10" s="77" t="inlineStr">
        <is>
          <t>2025日校考生核心科達332A比例</t>
        </is>
      </c>
      <c r="C10" s="77" t="inlineStr">
        <is>
          <t>2025</t>
        </is>
      </c>
      <c r="D10" s="77" t="inlineStr">
        <is>
          <t>公開考試</t>
        </is>
      </c>
      <c r="E10" s="77" t="inlineStr">
        <is>
          <t>日校考生；Table 3d母體（至少5科甲／乙類科目）</t>
        </is>
      </c>
      <c r="F10" s="77" t="inlineStr">
        <is>
          <t>19103</t>
        </is>
      </c>
      <c r="G10" s="77" t="inlineStr">
        <is>
          <t>42589</t>
        </is>
      </c>
      <c r="H10" s="77" t="inlineStr">
        <is>
          <t>44.9</t>
        </is>
      </c>
      <c r="I10" s="77" t="inlineStr">
        <is>
          <t>%</t>
        </is>
      </c>
      <c r="J10" s="77" t="inlineStr">
        <is>
          <t>本研究由官方人數計算（與公布值一致）</t>
        </is>
      </c>
      <c r="K10" s="77" t="inlineStr">
        <is>
          <t>HKDSE25-STAT3D</t>
        </is>
      </c>
      <c r="L10" s="77" t="inlineStr">
        <is>
          <t>2025 HKDSE Results Statistics, Table 3d</t>
        </is>
      </c>
      <c r="M10" s="77" t="inlineStr">
        <is>
          <t>核心科達標比例；不代表任何院校課程錄取率或錄取保證。</t>
        </is>
      </c>
      <c r="N10" s="77" t="inlineStr">
        <is>
          <t>已核算：19103/42589=44.856...%，四捨五入至一位小數44.9%</t>
        </is>
      </c>
    </row>
    <row r="11" ht="30" customHeight="1">
      <c r="A11" s="78" t="inlineStr">
        <is>
          <t>HKDSE_2025_DAY_332A_2E3_COUNT</t>
        </is>
      </c>
      <c r="B11" s="78" t="inlineStr">
        <is>
          <t>2025日校考生達332A及兩選修科第3級或以上人數</t>
        </is>
      </c>
      <c r="C11" s="78" t="inlineStr">
        <is>
          <t>2025</t>
        </is>
      </c>
      <c r="D11" s="78" t="inlineStr">
        <is>
          <t>公開考試</t>
        </is>
      </c>
      <c r="E11" s="78" t="inlineStr">
        <is>
          <t>日校考生；Table 3d母體（至少5科甲／乙類科目）</t>
        </is>
      </c>
      <c r="F11" s="78" t="inlineStr">
        <is>
          <t>16447</t>
        </is>
      </c>
      <c r="G11" s="78" t="inlineStr">
        <is>
          <t>42589</t>
        </is>
      </c>
      <c r="H11" s="78" t="inlineStr">
        <is>
          <t>16447</t>
        </is>
      </c>
      <c r="I11" s="78" t="inlineStr">
        <is>
          <t>人</t>
        </is>
      </c>
      <c r="J11" s="78" t="inlineStr">
        <is>
          <t>官方照錄（詳細統計表）</t>
        </is>
      </c>
      <c r="K11" s="78" t="inlineStr">
        <is>
          <t>HKDSE25-STAT3D</t>
        </is>
      </c>
      <c r="L11" s="78" t="inlineStr">
        <is>
          <t>2025 HKDSE Results Statistics, Table 3d; core 332A plus at least two electives at Level 3 or above</t>
        </is>
      </c>
      <c r="M11" s="78" t="inlineStr">
        <is>
          <t>2025詳細年度表為覆核後統計；與2025放榜新聞稿的初次公布數字不同。不能把新聞稿快照與年終表混稱同一版。</t>
        </is>
      </c>
      <c r="N11" s="78" t="inlineStr">
        <is>
          <t>已核對HKEAA 2025年詳細結果統計表3d</t>
        </is>
      </c>
    </row>
    <row r="12" ht="30" customHeight="1">
      <c r="A12" s="77" t="inlineStr">
        <is>
          <t>HKDSE_2025_DAY_332A_2E3_SHARE</t>
        </is>
      </c>
      <c r="B12" s="77" t="inlineStr">
        <is>
          <t>2025日校考生達332A及兩選修科第3級或以上比例</t>
        </is>
      </c>
      <c r="C12" s="77" t="inlineStr">
        <is>
          <t>2025</t>
        </is>
      </c>
      <c r="D12" s="77" t="inlineStr">
        <is>
          <t>公開考試</t>
        </is>
      </c>
      <c r="E12" s="77" t="inlineStr">
        <is>
          <t>日校考生；Table 3d母體（至少5科甲／乙類科目）</t>
        </is>
      </c>
      <c r="F12" s="77" t="inlineStr">
        <is>
          <t>16447</t>
        </is>
      </c>
      <c r="G12" s="77" t="inlineStr">
        <is>
          <t>42589</t>
        </is>
      </c>
      <c r="H12" s="77" t="inlineStr">
        <is>
          <t>38.6</t>
        </is>
      </c>
      <c r="I12" s="77" t="inlineStr">
        <is>
          <t>%</t>
        </is>
      </c>
      <c r="J12" s="77" t="inlineStr">
        <is>
          <t>本研究由官方人數計算（與公布值一致）</t>
        </is>
      </c>
      <c r="K12" s="77" t="inlineStr">
        <is>
          <t>HKDSE25-STAT3D</t>
        </is>
      </c>
      <c r="L12" s="77" t="inlineStr">
        <is>
          <t>2025 HKDSE Results Statistics, Table 3d</t>
        </is>
      </c>
      <c r="M12" s="77" t="inlineStr">
        <is>
          <t>同一分母下比核心332A比例少6.3個百分點；是較嚴格成績組合統計，不是大學錄取率或個人概率。</t>
        </is>
      </c>
      <c r="N12" s="77" t="inlineStr">
        <is>
          <t>已核算：16447/42589=38.617...%，四捨五入至一位小數38.6%</t>
        </is>
      </c>
    </row>
    <row r="13" ht="30" customHeight="1">
      <c r="A13" s="78" t="inlineStr">
        <is>
          <t>JUPAS_2025_APPLICANTS</t>
        </is>
      </c>
      <c r="B13" s="78" t="inlineStr">
        <is>
          <t>JUPAS一般主輪統計申請人數</t>
        </is>
      </c>
      <c r="C13" s="78" t="inlineStr">
        <is>
          <t>2025</t>
        </is>
      </c>
      <c r="D13" s="78" t="inlineStr">
        <is>
          <t>中學後</t>
        </is>
      </c>
      <c r="E13" s="78" t="inlineStr">
        <is>
          <t>JUPAS指定統計母體</t>
        </is>
      </c>
      <c r="F13" s="78" t="inlineStr">
        <is>
          <t>43269</t>
        </is>
      </c>
      <c r="G13" s="78" t="inlineStr"/>
      <c r="H13" s="78" t="inlineStr">
        <is>
          <t>43269</t>
        </is>
      </c>
      <c r="I13" s="78" t="inlineStr">
        <is>
          <t>人</t>
        </is>
      </c>
      <c r="J13" s="78" t="inlineStr">
        <is>
          <t>官方照錄</t>
        </is>
      </c>
      <c r="K13" s="78" t="inlineStr">
        <is>
          <t>JUPAS-MR</t>
        </is>
      </c>
      <c r="L13" s="78" t="inlineStr">
        <is>
          <t>Applicants / Main Round Offer Statistics</t>
        </is>
      </c>
      <c r="M13" s="78" t="inlineStr">
        <is>
          <t>不可等同該年全體DSE考生。</t>
        </is>
      </c>
      <c r="N13" s="78" t="inlineStr">
        <is>
          <t>已核對JUPAS主輪官方頁面公布值</t>
        </is>
      </c>
    </row>
    <row r="14" ht="30" customHeight="1">
      <c r="A14" s="77" t="inlineStr">
        <is>
          <t>JUPAS_2025_GENERAL_OFFERS</t>
        </is>
      </c>
      <c r="B14" s="77" t="inlineStr">
        <is>
          <t>JUPAS一般主輪指定類別offer持有人數</t>
        </is>
      </c>
      <c r="C14" s="77" t="inlineStr">
        <is>
          <t>2025</t>
        </is>
      </c>
      <c r="D14" s="77" t="inlineStr">
        <is>
          <t>中學後</t>
        </is>
      </c>
      <c r="E14" s="77" t="inlineStr">
        <is>
          <t>一般Main Round指定課程類別</t>
        </is>
      </c>
      <c r="F14" s="77" t="inlineStr">
        <is>
          <t>15808</t>
        </is>
      </c>
      <c r="G14" s="77" t="inlineStr"/>
      <c r="H14" s="77" t="inlineStr">
        <is>
          <t>15808</t>
        </is>
      </c>
      <c r="I14" s="77" t="inlineStr">
        <is>
          <t>人</t>
        </is>
      </c>
      <c r="J14" s="77" t="inlineStr">
        <is>
          <t>官方照錄</t>
        </is>
      </c>
      <c r="K14" s="77" t="inlineStr">
        <is>
          <t>JUPAS-MR</t>
        </is>
      </c>
      <c r="L14" s="77" t="inlineStr">
        <is>
          <t>Applicants with Main Round offers</t>
        </is>
      </c>
      <c r="M14" s="77" t="inlineStr">
        <is>
          <t>一般Main Round官方統計頁列出的UGC資助學士／都大自資學士／教大資助高級文憑類別；與SSSDP頁合計需依JUPAS一人一個Main Round offer規則，衍生唯一offer人數另列。</t>
        </is>
      </c>
      <c r="N14" s="77" t="inlineStr">
        <is>
          <t>已核對JUPAS主輪官方頁面公布值</t>
        </is>
      </c>
    </row>
    <row r="15" ht="30" customHeight="1">
      <c r="A15" s="78" t="inlineStr">
        <is>
          <t>JUPAS_2025_GENERAL_RATE</t>
        </is>
      </c>
      <c r="B15" s="78" t="inlineStr">
        <is>
          <t>JUPAS一般主輪官方公布offer比例</t>
        </is>
      </c>
      <c r="C15" s="78" t="inlineStr">
        <is>
          <t>2025</t>
        </is>
      </c>
      <c r="D15" s="78" t="inlineStr">
        <is>
          <t>中學後</t>
        </is>
      </c>
      <c r="E15" s="78" t="inlineStr">
        <is>
          <t>一般Main Round指定課程類別</t>
        </is>
      </c>
      <c r="F15" s="78" t="inlineStr">
        <is>
          <t>15808</t>
        </is>
      </c>
      <c r="G15" s="78" t="inlineStr">
        <is>
          <t>43269</t>
        </is>
      </c>
      <c r="H15" s="78" t="inlineStr">
        <is>
          <t>36.53</t>
        </is>
      </c>
      <c r="I15" s="78" t="inlineStr">
        <is>
          <t>%</t>
        </is>
      </c>
      <c r="J15" s="78" t="inlineStr">
        <is>
          <t>官方公布比例</t>
        </is>
      </c>
      <c r="K15" s="78" t="inlineStr">
        <is>
          <t>JUPAS-MR</t>
        </is>
      </c>
      <c r="L15" s="78" t="inlineStr">
        <is>
          <t>Applicants with Main Round offers / applicants</t>
        </is>
      </c>
      <c r="M15" s="78" t="inlineStr">
        <is>
          <t>一般Main Round統計表定義下的offer持有人數/申請人數；可重算官方比例。不是全部JUPAS課程、SSSDP、全港升學率或個人錄取概率。</t>
        </is>
      </c>
      <c r="N15" s="78" t="inlineStr">
        <is>
          <t>已獨立複算：15,808/43,269=36.5342%，四捨五入為36.53%，與官方公布相符</t>
        </is>
      </c>
    </row>
    <row r="16" ht="30" customHeight="1">
      <c r="A16" s="77" t="inlineStr">
        <is>
          <t>JUPAS_2025_SSSDP_OFFERS</t>
        </is>
      </c>
      <c r="B16" s="77" t="inlineStr">
        <is>
          <t>SSSDP主輪offer持有人數</t>
        </is>
      </c>
      <c r="C16" s="77" t="inlineStr">
        <is>
          <t>2025</t>
        </is>
      </c>
      <c r="D16" s="77" t="inlineStr">
        <is>
          <t>中學後</t>
        </is>
      </c>
      <c r="E16" s="77" t="inlineStr">
        <is>
          <t>SSSDP Main Round（另表）</t>
        </is>
      </c>
      <c r="F16" s="77" t="inlineStr">
        <is>
          <t>4904</t>
        </is>
      </c>
      <c r="G16" s="77" t="inlineStr"/>
      <c r="H16" s="77" t="inlineStr">
        <is>
          <t>4904</t>
        </is>
      </c>
      <c r="I16" s="77" t="inlineStr">
        <is>
          <t>人</t>
        </is>
      </c>
      <c r="J16" s="77" t="inlineStr">
        <is>
          <t>官方照錄</t>
        </is>
      </c>
      <c r="K16" s="77" t="inlineStr">
        <is>
          <t>JUPAS-SSSDP-MR</t>
        </is>
      </c>
      <c r="L16" s="77" t="inlineStr">
        <is>
          <t>Applicants with Main Round offers from SSSDP institutions</t>
        </is>
      </c>
      <c r="M16" s="77" t="inlineStr">
        <is>
          <t>SSSDP主輪由獨立官方頁另列；JUPAS Main Round規則為每名獲正式遴選取錄資格申請人只獲一個offer，可與一般Main Round統計組別加總估算跨兩個官方表的唯一Main Round offer持有人數。合計是本研究跨表衍生指標，不是SSSDP單頁公布值；不等同已接受／註冊／入讀人數，也不含後續重新考慮或Clearing Round。</t>
        </is>
      </c>
      <c r="N16" s="77" t="inlineStr">
        <is>
          <t>已核對SSSDP官方獨立統計頁；唯一人數合計見JUPAS-MR-UNION衍生指標</t>
        </is>
      </c>
    </row>
    <row r="17" ht="30" customHeight="1">
      <c r="A17" s="78" t="inlineStr">
        <is>
          <t>JUPAS_2026_APPLICANTS</t>
        </is>
      </c>
      <c r="B17" s="78" t="inlineStr">
        <is>
          <t>JUPAS一般主輪統計申請人數</t>
        </is>
      </c>
      <c r="C17" s="78" t="inlineStr">
        <is>
          <t>2026</t>
        </is>
      </c>
      <c r="D17" s="78" t="inlineStr">
        <is>
          <t>中學後</t>
        </is>
      </c>
      <c r="E17" s="78" t="inlineStr">
        <is>
          <t>JUPAS指定統計母體</t>
        </is>
      </c>
      <c r="F17" s="78" t="inlineStr">
        <is>
          <t>45545</t>
        </is>
      </c>
      <c r="G17" s="78" t="inlineStr"/>
      <c r="H17" s="78" t="inlineStr">
        <is>
          <t>45545</t>
        </is>
      </c>
      <c r="I17" s="78" t="inlineStr">
        <is>
          <t>人</t>
        </is>
      </c>
      <c r="J17" s="78" t="inlineStr">
        <is>
          <t>官方照錄</t>
        </is>
      </c>
      <c r="K17" s="78" t="inlineStr">
        <is>
          <t>JUPAS-MR</t>
        </is>
      </c>
      <c r="L17" s="78" t="inlineStr">
        <is>
          <t>Applicants / Main Round Offer Statistics</t>
        </is>
      </c>
      <c r="M17" s="78" t="inlineStr">
        <is>
          <t>不可等同該年全體DSE考生。</t>
        </is>
      </c>
      <c r="N17" s="78" t="inlineStr">
        <is>
          <t>已核對JUPAS主輪官方頁面公布值</t>
        </is>
      </c>
    </row>
    <row r="18" ht="30" customHeight="1">
      <c r="A18" s="77" t="inlineStr">
        <is>
          <t>JUPAS_2026_GENERAL_OFFERS</t>
        </is>
      </c>
      <c r="B18" s="77" t="inlineStr">
        <is>
          <t>JUPAS一般主輪指定類別offer持有人數</t>
        </is>
      </c>
      <c r="C18" s="77" t="inlineStr">
        <is>
          <t>2026</t>
        </is>
      </c>
      <c r="D18" s="77" t="inlineStr">
        <is>
          <t>中學後</t>
        </is>
      </c>
      <c r="E18" s="77" t="inlineStr">
        <is>
          <t>一般Main Round指定課程類別</t>
        </is>
      </c>
      <c r="F18" s="77" t="inlineStr">
        <is>
          <t>15619</t>
        </is>
      </c>
      <c r="G18" s="77" t="inlineStr"/>
      <c r="H18" s="77" t="inlineStr">
        <is>
          <t>15619</t>
        </is>
      </c>
      <c r="I18" s="77" t="inlineStr">
        <is>
          <t>人</t>
        </is>
      </c>
      <c r="J18" s="77" t="inlineStr">
        <is>
          <t>官方照錄</t>
        </is>
      </c>
      <c r="K18" s="77" t="inlineStr">
        <is>
          <t>JUPAS-MR</t>
        </is>
      </c>
      <c r="L18" s="77" t="inlineStr">
        <is>
          <t>Applicants with Main Round offers</t>
        </is>
      </c>
      <c r="M18" s="77" t="inlineStr">
        <is>
          <t>一般Main Round官方統計頁列出的UGC資助學士／都大自資學士／教大資助高級文憑類別；與SSSDP頁合計需依JUPAS一人一個Main Round offer規則，衍生唯一offer人數另列。</t>
        </is>
      </c>
      <c r="N18" s="77" t="inlineStr">
        <is>
          <t>已核對JUPAS主輪官方頁面公布值</t>
        </is>
      </c>
    </row>
    <row r="19" ht="30" customHeight="1">
      <c r="A19" s="78" t="inlineStr">
        <is>
          <t>JUPAS_2026_GENERAL_RATE</t>
        </is>
      </c>
      <c r="B19" s="78" t="inlineStr">
        <is>
          <t>JUPAS一般主輪官方公布offer比例</t>
        </is>
      </c>
      <c r="C19" s="78" t="inlineStr">
        <is>
          <t>2026</t>
        </is>
      </c>
      <c r="D19" s="78" t="inlineStr">
        <is>
          <t>中學後</t>
        </is>
      </c>
      <c r="E19" s="78" t="inlineStr">
        <is>
          <t>一般Main Round指定課程類別</t>
        </is>
      </c>
      <c r="F19" s="78" t="inlineStr">
        <is>
          <t>15619</t>
        </is>
      </c>
      <c r="G19" s="78" t="inlineStr">
        <is>
          <t>45545</t>
        </is>
      </c>
      <c r="H19" s="78" t="inlineStr">
        <is>
          <t>34.29</t>
        </is>
      </c>
      <c r="I19" s="78" t="inlineStr">
        <is>
          <t>%</t>
        </is>
      </c>
      <c r="J19" s="78" t="inlineStr">
        <is>
          <t>官方公布比例</t>
        </is>
      </c>
      <c r="K19" s="78" t="inlineStr">
        <is>
          <t>JUPAS-MR</t>
        </is>
      </c>
      <c r="L19" s="78" t="inlineStr">
        <is>
          <t>Applicants with Main Round offers / applicants</t>
        </is>
      </c>
      <c r="M19" s="78" t="inlineStr">
        <is>
          <t>一般Main Round統計表定義下的offer持有人數/申請人數；可重算官方比例。不是全部JUPAS課程、SSSDP、全港升學率或個人錄取概率。</t>
        </is>
      </c>
      <c r="N19" s="78" t="inlineStr">
        <is>
          <t>已獨立複算：15,619/45,545=34.2936%，四捨五入為34.29%，與官方公布相符</t>
        </is>
      </c>
    </row>
    <row r="20" ht="30" customHeight="1">
      <c r="A20" s="77" t="inlineStr">
        <is>
          <t>JUPAS_2026_SSSDP_OFFERS</t>
        </is>
      </c>
      <c r="B20" s="77" t="inlineStr">
        <is>
          <t>SSSDP主輪offer持有人數</t>
        </is>
      </c>
      <c r="C20" s="77" t="inlineStr">
        <is>
          <t>2026</t>
        </is>
      </c>
      <c r="D20" s="77" t="inlineStr">
        <is>
          <t>中學後</t>
        </is>
      </c>
      <c r="E20" s="77" t="inlineStr">
        <is>
          <t>SSSDP Main Round（另表）</t>
        </is>
      </c>
      <c r="F20" s="77" t="inlineStr">
        <is>
          <t>4979</t>
        </is>
      </c>
      <c r="G20" s="77" t="inlineStr"/>
      <c r="H20" s="77" t="inlineStr">
        <is>
          <t>4979</t>
        </is>
      </c>
      <c r="I20" s="77" t="inlineStr">
        <is>
          <t>人</t>
        </is>
      </c>
      <c r="J20" s="77" t="inlineStr">
        <is>
          <t>官方照錄</t>
        </is>
      </c>
      <c r="K20" s="77" t="inlineStr">
        <is>
          <t>JUPAS-SSSDP-MR</t>
        </is>
      </c>
      <c r="L20" s="77" t="inlineStr">
        <is>
          <t>Applicants with Main Round offers from SSSDP institutions</t>
        </is>
      </c>
      <c r="M20" s="77" t="inlineStr">
        <is>
          <t>SSSDP主輪由獨立官方頁另列；JUPAS Main Round規則為每名獲正式遴選取錄資格申請人只獲一個offer，可與一般Main Round統計組別加總估算跨兩個官方表的唯一Main Round offer持有人數。合計是本研究跨表衍生指標，不是SSSDP單頁公布值；不等同已接受／註冊／入讀人數，也不含後續重新考慮或Clearing Round。</t>
        </is>
      </c>
      <c r="N20" s="77" t="inlineStr">
        <is>
          <t>已核對SSSDP官方獨立統計頁；唯一人數合計見JUPAS-MR-UNION衍生指標</t>
        </is>
      </c>
    </row>
    <row r="21" ht="30" customHeight="1">
      <c r="A21" s="78" t="inlineStr">
        <is>
          <t>UGC_FYFD_PLACES</t>
        </is>
      </c>
      <c r="B21" s="78" t="inlineStr">
        <is>
          <t>UGC資助第一年學士學位名額</t>
        </is>
      </c>
      <c r="C21" s="78" t="inlineStr">
        <is>
          <t>年度基線</t>
        </is>
      </c>
      <c r="D21" s="78" t="inlineStr">
        <is>
          <t>中學後</t>
        </is>
      </c>
      <c r="E21" s="78" t="inlineStr">
        <is>
          <t>八所UGC資助大學</t>
        </is>
      </c>
      <c r="F21" s="78" t="inlineStr">
        <is>
          <t>15000</t>
        </is>
      </c>
      <c r="G21" s="78" t="inlineStr"/>
      <c r="H21" s="78" t="inlineStr">
        <is>
          <t>15000</t>
        </is>
      </c>
      <c r="I21" s="78" t="inlineStr">
        <is>
          <t>學額／年</t>
        </is>
      </c>
      <c r="J21" s="78" t="inlineStr">
        <is>
          <t>官方照錄</t>
        </is>
      </c>
      <c r="K21" s="78" t="inlineStr">
        <is>
          <t>EDB-UGC-CAP</t>
        </is>
      </c>
      <c r="L21" s="78" t="inlineStr">
        <is>
          <t>Publicly-funded programmes</t>
        </is>
      </c>
      <c r="M21" s="78" t="inlineStr">
        <is>
          <t>容量基線；不能直接當作該屆DSE學生可獲名額或個人錄取率。</t>
        </is>
      </c>
      <c r="N21" s="78" t="inlineStr">
        <is>
          <t>已核對來源；待獨立複算</t>
        </is>
      </c>
    </row>
    <row r="22" ht="30" customHeight="1">
      <c r="A22" s="77" t="inlineStr">
        <is>
          <t>UGC_SENIOR_YEAR_PLACES</t>
        </is>
      </c>
      <c r="B22" s="77" t="inlineStr">
        <is>
          <t>UGC資助高年級學士入學名額</t>
        </is>
      </c>
      <c r="C22" s="77" t="inlineStr">
        <is>
          <t>2018/19起；年度基線</t>
        </is>
      </c>
      <c r="D22" s="77" t="inlineStr">
        <is>
          <t>中學後</t>
        </is>
      </c>
      <c r="E22" s="77" t="inlineStr">
        <is>
          <t>副學位及其他合資格申請人</t>
        </is>
      </c>
      <c r="F22" s="77" t="inlineStr">
        <is>
          <t>5000</t>
        </is>
      </c>
      <c r="G22" s="77" t="inlineStr"/>
      <c r="H22" s="77" t="inlineStr">
        <is>
          <t>5000</t>
        </is>
      </c>
      <c r="I22" s="77" t="inlineStr">
        <is>
          <t>約學額／年</t>
        </is>
      </c>
      <c r="J22" s="77" t="inlineStr">
        <is>
          <t>官方約數</t>
        </is>
      </c>
      <c r="K22" s="77" t="inlineStr">
        <is>
          <t>EDB-UGC-CAP</t>
        </is>
      </c>
      <c r="L22" s="77" t="inlineStr">
        <is>
          <t>Publicly-funded programmes</t>
        </is>
      </c>
      <c r="M22" s="77" t="inlineStr">
        <is>
          <t>約數；適用入口及年度分配仍要查看當屆資料。</t>
        </is>
      </c>
      <c r="N22" s="77" t="inlineStr">
        <is>
          <t>已核對來源；待獨立複算</t>
        </is>
      </c>
    </row>
    <row r="23" ht="30" customHeight="1">
      <c r="A23" s="78" t="inlineStr">
        <is>
          <t>SSSDP_FY_PROGRAMMES</t>
        </is>
      </c>
      <c r="B23" s="78" t="inlineStr">
        <is>
          <t>SSSDP第一年學士指定課程數</t>
        </is>
      </c>
      <c r="C23" s="78" t="inlineStr">
        <is>
          <t>2027/28</t>
        </is>
      </c>
      <c r="D23" s="78" t="inlineStr">
        <is>
          <t>中學後</t>
        </is>
      </c>
      <c r="E23" s="78" t="inlineStr">
        <is>
          <t>SSSDP本科組</t>
        </is>
      </c>
      <c r="F23" s="78" t="inlineStr">
        <is>
          <t>59</t>
        </is>
      </c>
      <c r="G23" s="78" t="inlineStr"/>
      <c r="H23" s="78" t="inlineStr">
        <is>
          <t>59</t>
        </is>
      </c>
      <c r="I23" s="78" t="inlineStr">
        <is>
          <t>個課程</t>
        </is>
      </c>
      <c r="J23" s="78" t="inlineStr">
        <is>
          <t>官方照錄</t>
        </is>
      </c>
      <c r="K23" s="78" t="inlineStr">
        <is>
          <t>EDB-SSSDP-2728</t>
        </is>
      </c>
      <c r="L23" s="78" t="inlineStr">
        <is>
          <t>2027/28 announcement</t>
        </is>
      </c>
      <c r="M23" s="78" t="inlineStr">
        <is>
          <t>課程數，不是學額。</t>
        </is>
      </c>
      <c r="N23" s="78" t="inlineStr">
        <is>
          <t>已核對來源；待獨立複算</t>
        </is>
      </c>
    </row>
    <row r="24" ht="30" customHeight="1">
      <c r="A24" s="77" t="inlineStr">
        <is>
          <t>SSSDP_FY_PLACES</t>
        </is>
      </c>
      <c r="B24" s="77" t="inlineStr">
        <is>
          <t>SSSDP第一年學士資助學額</t>
        </is>
      </c>
      <c r="C24" s="77" t="inlineStr">
        <is>
          <t>2027/28</t>
        </is>
      </c>
      <c r="D24" s="77" t="inlineStr">
        <is>
          <t>中學後</t>
        </is>
      </c>
      <c r="E24" s="77" t="inlineStr">
        <is>
          <t>SSSDP本科組</t>
        </is>
      </c>
      <c r="F24" s="77" t="inlineStr">
        <is>
          <t>3390</t>
        </is>
      </c>
      <c r="G24" s="77" t="inlineStr"/>
      <c r="H24" s="77" t="inlineStr">
        <is>
          <t>3390</t>
        </is>
      </c>
      <c r="I24" s="77" t="inlineStr">
        <is>
          <t>學額</t>
        </is>
      </c>
      <c r="J24" s="77" t="inlineStr">
        <is>
          <t>官方照錄</t>
        </is>
      </c>
      <c r="K24" s="77" t="inlineStr">
        <is>
          <t>EDB-SSSDP-2728</t>
        </is>
      </c>
      <c r="L24" s="77" t="inlineStr">
        <is>
          <t>2027/28 announcement</t>
        </is>
      </c>
      <c r="M24" s="77" t="inlineStr">
        <is>
          <t>指定課程內資助學額。</t>
        </is>
      </c>
      <c r="N24" s="77" t="inlineStr">
        <is>
          <t>已核對來源；待獨立複算</t>
        </is>
      </c>
    </row>
    <row r="25" ht="30" customHeight="1">
      <c r="A25" s="78" t="inlineStr">
        <is>
          <t>SSSDP_SY_PROGRAMMES</t>
        </is>
      </c>
      <c r="B25" s="78" t="inlineStr">
        <is>
          <t>SSSDP銜接學士指定課程數</t>
        </is>
      </c>
      <c r="C25" s="78" t="inlineStr">
        <is>
          <t>2027/28</t>
        </is>
      </c>
      <c r="D25" s="78" t="inlineStr">
        <is>
          <t>中學後</t>
        </is>
      </c>
      <c r="E25" s="78" t="inlineStr">
        <is>
          <t>SSSDP本科組</t>
        </is>
      </c>
      <c r="F25" s="78" t="inlineStr">
        <is>
          <t>47</t>
        </is>
      </c>
      <c r="G25" s="78" t="inlineStr"/>
      <c r="H25" s="78" t="inlineStr">
        <is>
          <t>47</t>
        </is>
      </c>
      <c r="I25" s="78" t="inlineStr">
        <is>
          <t>個課程</t>
        </is>
      </c>
      <c r="J25" s="78" t="inlineStr">
        <is>
          <t>官方照錄</t>
        </is>
      </c>
      <c r="K25" s="78" t="inlineStr">
        <is>
          <t>EDB-SSSDP-2728</t>
        </is>
      </c>
      <c r="L25" s="78" t="inlineStr">
        <is>
          <t>2027/28 announcement</t>
        </is>
      </c>
      <c r="M25" s="78" t="inlineStr">
        <is>
          <t>課程數，不是學額。</t>
        </is>
      </c>
      <c r="N25" s="78" t="inlineStr">
        <is>
          <t>已核對來源；待獨立複算</t>
        </is>
      </c>
    </row>
    <row r="26" ht="30" customHeight="1">
      <c r="A26" s="77" t="inlineStr">
        <is>
          <t>SSSDP_SY_PLACES</t>
        </is>
      </c>
      <c r="B26" s="77" t="inlineStr">
        <is>
          <t>SSSDP銜接學士資助學額</t>
        </is>
      </c>
      <c r="C26" s="77" t="inlineStr">
        <is>
          <t>2027/28</t>
        </is>
      </c>
      <c r="D26" s="77" t="inlineStr">
        <is>
          <t>中學後</t>
        </is>
      </c>
      <c r="E26" s="77" t="inlineStr">
        <is>
          <t>SSSDP本科組</t>
        </is>
      </c>
      <c r="F26" s="77" t="inlineStr">
        <is>
          <t>1321</t>
        </is>
      </c>
      <c r="G26" s="77" t="inlineStr"/>
      <c r="H26" s="77" t="inlineStr">
        <is>
          <t>1321</t>
        </is>
      </c>
      <c r="I26" s="77" t="inlineStr">
        <is>
          <t>學額</t>
        </is>
      </c>
      <c r="J26" s="77" t="inlineStr">
        <is>
          <t>官方照錄</t>
        </is>
      </c>
      <c r="K26" s="77" t="inlineStr">
        <is>
          <t>EDB-SSSDP-2728</t>
        </is>
      </c>
      <c r="L26" s="77" t="inlineStr">
        <is>
          <t>2027/28 announcement</t>
        </is>
      </c>
      <c r="M26" s="77" t="inlineStr">
        <is>
          <t>指定課程內資助學額。</t>
        </is>
      </c>
      <c r="N26" s="77" t="inlineStr">
        <is>
          <t>已核對來源；待獨立複算</t>
        </is>
      </c>
    </row>
    <row r="27" ht="30" customHeight="1">
      <c r="A27" s="78" t="inlineStr">
        <is>
          <t>SSSDP_TOTAL_PLACES</t>
        </is>
      </c>
      <c r="B27" s="78" t="inlineStr">
        <is>
          <t>SSSDP學士課程資助學額總數</t>
        </is>
      </c>
      <c r="C27" s="78" t="inlineStr">
        <is>
          <t>2027/28</t>
        </is>
      </c>
      <c r="D27" s="78" t="inlineStr">
        <is>
          <t>中學後</t>
        </is>
      </c>
      <c r="E27" s="78" t="inlineStr">
        <is>
          <t>SSSDP本科組</t>
        </is>
      </c>
      <c r="F27" s="78" t="inlineStr">
        <is>
          <t>4711</t>
        </is>
      </c>
      <c r="G27" s="78" t="inlineStr"/>
      <c r="H27" s="78" t="inlineStr">
        <is>
          <t>4711</t>
        </is>
      </c>
      <c r="I27" s="78" t="inlineStr">
        <is>
          <t>學額</t>
        </is>
      </c>
      <c r="J27" s="78" t="inlineStr">
        <is>
          <t>本研究加總</t>
        </is>
      </c>
      <c r="K27" s="78" t="inlineStr">
        <is>
          <t>EDB-SSSDP-2728</t>
        </is>
      </c>
      <c r="L27" s="78" t="inlineStr">
        <is>
          <t>3,390 + 1,321</t>
        </is>
      </c>
      <c r="M27" s="78" t="inlineStr">
        <is>
          <t>由兩類已公布學額加總；不可視為全部香港學士名額。</t>
        </is>
      </c>
      <c r="N27" s="78" t="inlineStr">
        <is>
          <t>已核對來源；待獨立複算</t>
        </is>
      </c>
    </row>
    <row r="28" ht="30" customHeight="1">
      <c r="A28" s="77" t="inlineStr">
        <is>
          <t>SSSDP_APPLIED_DEGREE_PROGRAMMES</t>
        </is>
      </c>
      <c r="B28" s="77" t="inlineStr">
        <is>
          <t>SSSDP應用學位課程數</t>
        </is>
      </c>
      <c r="C28" s="77" t="inlineStr">
        <is>
          <t>2027/28</t>
        </is>
      </c>
      <c r="D28" s="77" t="inlineStr">
        <is>
          <t>中學後</t>
        </is>
      </c>
      <c r="E28" s="77" t="inlineStr">
        <is>
          <t>SSSDP本科組</t>
        </is>
      </c>
      <c r="F28" s="77" t="inlineStr">
        <is>
          <t>20</t>
        </is>
      </c>
      <c r="G28" s="77" t="inlineStr"/>
      <c r="H28" s="77" t="inlineStr">
        <is>
          <t>20</t>
        </is>
      </c>
      <c r="I28" s="77" t="inlineStr">
        <is>
          <t>個課程</t>
        </is>
      </c>
      <c r="J28" s="77" t="inlineStr">
        <is>
          <t>官方照錄</t>
        </is>
      </c>
      <c r="K28" s="77" t="inlineStr">
        <is>
          <t>EDB-SSSDP-2728</t>
        </is>
      </c>
      <c r="L28" s="77" t="inlineStr">
        <is>
          <t>2027/28 announcement</t>
        </is>
      </c>
      <c r="M28" s="77" t="inlineStr">
        <is>
          <t>課程數，不是學額；依公告分類。</t>
        </is>
      </c>
      <c r="N28" s="77" t="inlineStr">
        <is>
          <t>已核對來源；待獨立複算</t>
        </is>
      </c>
    </row>
    <row r="29" ht="30" customHeight="1">
      <c r="A29" s="78" t="inlineStr">
        <is>
          <t>SSSDP_SUBSIDY_LAB</t>
        </is>
      </c>
      <c r="B29" s="78" t="inlineStr">
        <is>
          <t>SSSDP標準實驗室課程年度資助額</t>
        </is>
      </c>
      <c r="C29" s="78" t="inlineStr">
        <is>
          <t>2027/28</t>
        </is>
      </c>
      <c r="D29" s="78" t="inlineStr">
        <is>
          <t>中學後</t>
        </is>
      </c>
      <c r="E29" s="78" t="inlineStr">
        <is>
          <t>eligible lab-based</t>
        </is>
      </c>
      <c r="F29" s="78" t="inlineStr">
        <is>
          <t>81450</t>
        </is>
      </c>
      <c r="G29" s="78" t="inlineStr"/>
      <c r="H29" s="78" t="inlineStr">
        <is>
          <t>81450</t>
        </is>
      </c>
      <c r="I29" s="78" t="inlineStr">
        <is>
          <t>HKD／學生／學年</t>
        </is>
      </c>
      <c r="J29" s="78" t="inlineStr">
        <is>
          <t>官方照錄</t>
        </is>
      </c>
      <c r="K29" s="78" t="inlineStr">
        <is>
          <t>EDB-SSSDP-2728</t>
        </is>
      </c>
      <c r="L29" s="78" t="inlineStr">
        <is>
          <t>2027/28 subsidy rates</t>
        </is>
      </c>
      <c r="M29" s="78" t="inlineStr">
        <is>
          <t>只適用於公告及指定課程分類；不是學費或學生實付金額。</t>
        </is>
      </c>
      <c r="N29" s="78" t="inlineStr">
        <is>
          <t>已核對來源；待獨立複算</t>
        </is>
      </c>
    </row>
    <row r="30" ht="30" customHeight="1">
      <c r="A30" s="77" t="inlineStr">
        <is>
          <t>SSSDP_SUBSIDY_NONLAB</t>
        </is>
      </c>
      <c r="B30" s="77" t="inlineStr">
        <is>
          <t>SSSDP標準非實驗室課程年度資助額</t>
        </is>
      </c>
      <c r="C30" s="77" t="inlineStr">
        <is>
          <t>2027/28</t>
        </is>
      </c>
      <c r="D30" s="77" t="inlineStr">
        <is>
          <t>中學後</t>
        </is>
      </c>
      <c r="E30" s="77" t="inlineStr">
        <is>
          <t>eligible non-lab-based</t>
        </is>
      </c>
      <c r="F30" s="77" t="inlineStr">
        <is>
          <t>46780</t>
        </is>
      </c>
      <c r="G30" s="77" t="inlineStr"/>
      <c r="H30" s="77" t="inlineStr">
        <is>
          <t>46780</t>
        </is>
      </c>
      <c r="I30" s="77" t="inlineStr">
        <is>
          <t>HKD／學生／學年</t>
        </is>
      </c>
      <c r="J30" s="77" t="inlineStr">
        <is>
          <t>官方照錄</t>
        </is>
      </c>
      <c r="K30" s="77" t="inlineStr">
        <is>
          <t>EDB-SSSDP-2728</t>
        </is>
      </c>
      <c r="L30" s="77" t="inlineStr">
        <is>
          <t>2027/28 subsidy rates</t>
        </is>
      </c>
      <c r="M30" s="77" t="inlineStr">
        <is>
          <t>只適用於公告及指定課程分類；不是學費或學生實付金額。</t>
        </is>
      </c>
      <c r="N30" s="77" t="inlineStr">
        <is>
          <t>已核對來源；待獨立複算</t>
        </is>
      </c>
    </row>
    <row r="31" ht="30" customHeight="1">
      <c r="A31" s="78" t="inlineStr">
        <is>
          <t>SSSDP_APPLIED_SUBSIDY_LAB</t>
        </is>
      </c>
      <c r="B31" s="78" t="inlineStr">
        <is>
          <t>SSSDP應用學位實驗室課程年度資助額</t>
        </is>
      </c>
      <c r="C31" s="78" t="inlineStr">
        <is>
          <t>2027/28</t>
        </is>
      </c>
      <c r="D31" s="78" t="inlineStr">
        <is>
          <t>中學後</t>
        </is>
      </c>
      <c r="E31" s="78" t="inlineStr">
        <is>
          <t>applied degree lab-based</t>
        </is>
      </c>
      <c r="F31" s="78" t="inlineStr">
        <is>
          <t>89620</t>
        </is>
      </c>
      <c r="G31" s="78" t="inlineStr"/>
      <c r="H31" s="78" t="inlineStr">
        <is>
          <t>89620</t>
        </is>
      </c>
      <c r="I31" s="78" t="inlineStr">
        <is>
          <t>HKD／學生／學年</t>
        </is>
      </c>
      <c r="J31" s="78" t="inlineStr">
        <is>
          <t>官方照錄</t>
        </is>
      </c>
      <c r="K31" s="78" t="inlineStr">
        <is>
          <t>EDB-SSSDP-2728</t>
        </is>
      </c>
      <c r="L31" s="78" t="inlineStr">
        <is>
          <t>2027/28 subsidy rates</t>
        </is>
      </c>
      <c r="M31" s="78" t="inlineStr">
        <is>
          <t>只適用於公告及指定課程分類；不是學費或學生實付金額。</t>
        </is>
      </c>
      <c r="N31" s="78" t="inlineStr">
        <is>
          <t>已核對來源；待獨立複算</t>
        </is>
      </c>
    </row>
    <row r="32" ht="30" customHeight="1">
      <c r="A32" s="77" t="inlineStr">
        <is>
          <t>SSSDP_APPLIED_SUBSIDY_NONLAB</t>
        </is>
      </c>
      <c r="B32" s="77" t="inlineStr">
        <is>
          <t>SSSDP應用學位非實驗室課程年度資助額</t>
        </is>
      </c>
      <c r="C32" s="77" t="inlineStr">
        <is>
          <t>2027/28</t>
        </is>
      </c>
      <c r="D32" s="77" t="inlineStr">
        <is>
          <t>中學後</t>
        </is>
      </c>
      <c r="E32" s="77" t="inlineStr">
        <is>
          <t>applied degree non-lab-based</t>
        </is>
      </c>
      <c r="F32" s="77" t="inlineStr">
        <is>
          <t>51880</t>
        </is>
      </c>
      <c r="G32" s="77" t="inlineStr"/>
      <c r="H32" s="77" t="inlineStr">
        <is>
          <t>51880</t>
        </is>
      </c>
      <c r="I32" s="77" t="inlineStr">
        <is>
          <t>HKD／學生／學年</t>
        </is>
      </c>
      <c r="J32" s="77" t="inlineStr">
        <is>
          <t>官方照錄</t>
        </is>
      </c>
      <c r="K32" s="77" t="inlineStr">
        <is>
          <t>EDB-SSSDP-2728</t>
        </is>
      </c>
      <c r="L32" s="77" t="inlineStr">
        <is>
          <t>2027/28 subsidy rates</t>
        </is>
      </c>
      <c r="M32" s="77" t="inlineStr">
        <is>
          <t>只適用於公告及指定課程分類；不是學費或學生實付金額。</t>
        </is>
      </c>
      <c r="N32" s="77" t="inlineStr">
        <is>
          <t>已核對來源；待獨立複算</t>
        </is>
      </c>
    </row>
    <row r="33" ht="30" customHeight="1">
      <c r="A33" s="78" t="inlineStr">
        <is>
          <t>SNDAS_PROGRAMMES</t>
        </is>
      </c>
      <c r="B33" s="78" t="inlineStr">
        <is>
          <t>SNDAS指定參與學士課程數</t>
        </is>
      </c>
      <c r="C33" s="78" t="inlineStr">
        <is>
          <t>2027/28</t>
        </is>
      </c>
      <c r="D33" s="78" t="inlineStr">
        <is>
          <t>中學後</t>
        </is>
      </c>
      <c r="E33" s="78" t="inlineStr">
        <is>
          <t>UGC資助學士課程</t>
        </is>
      </c>
      <c r="F33" s="78" t="inlineStr">
        <is>
          <t>316</t>
        </is>
      </c>
      <c r="G33" s="78" t="inlineStr"/>
      <c r="H33" s="78" t="inlineStr">
        <is>
          <t>316</t>
        </is>
      </c>
      <c r="I33" s="78" t="inlineStr">
        <is>
          <t>個課程</t>
        </is>
      </c>
      <c r="J33" s="78" t="inlineStr">
        <is>
          <t>官方照錄</t>
        </is>
      </c>
      <c r="K33" s="78" t="inlineStr">
        <is>
          <t>EDB-SNDAS-2728</t>
        </is>
      </c>
      <c r="L33" s="78" t="inlineStr">
        <is>
          <t>Designated programmes list</t>
        </is>
      </c>
      <c r="M33" s="78" t="inlineStr">
        <is>
          <t>課程數不是額外名額數；SNDAS與JUPAS SPN為不同安排。</t>
        </is>
      </c>
      <c r="N33" s="78" t="inlineStr">
        <is>
          <t>已核對來源；待獨立複算</t>
        </is>
      </c>
    </row>
    <row r="34" ht="30" customHeight="1">
      <c r="A34" s="77" t="inlineStr">
        <is>
          <t>UGC_DEGREE_TUITION_2024_25</t>
        </is>
      </c>
      <c r="B34" s="77" t="inlineStr">
        <is>
          <t>UGC資助全日制學士／研究生課程標準年學費</t>
        </is>
      </c>
      <c r="C34" s="77" t="inlineStr">
        <is>
          <t>2024/25</t>
        </is>
      </c>
      <c r="D34" s="77" t="inlineStr">
        <is>
          <t>中學後</t>
        </is>
      </c>
      <c r="E34" s="77" t="inlineStr">
        <is>
          <t>符合相關UGC資助資格學生</t>
        </is>
      </c>
      <c r="F34" s="77" t="inlineStr">
        <is>
          <t>42100</t>
        </is>
      </c>
      <c r="G34" s="77" t="inlineStr"/>
      <c r="H34" s="77" t="inlineStr">
        <is>
          <t>42100</t>
        </is>
      </c>
      <c r="I34" s="77" t="inlineStr">
        <is>
          <t>HKD／學年</t>
        </is>
      </c>
      <c r="J34" s="77" t="inlineStr">
        <is>
          <t>官方照錄</t>
        </is>
      </c>
      <c r="K34" s="77" t="inlineStr">
        <is>
          <t>UGC-TUITION</t>
        </is>
      </c>
      <c r="L34" s="77" t="inlineStr">
        <is>
          <t>Tuition fee schedule</t>
        </is>
      </c>
      <c r="M34" s="77" t="inlineStr">
        <is>
          <t>不含自資、非本地學費及生活／住宿等費用。</t>
        </is>
      </c>
      <c r="N34" s="77" t="inlineStr">
        <is>
          <t>已核對來源；待獨立複算</t>
        </is>
      </c>
    </row>
    <row r="35" ht="30" customHeight="1">
      <c r="A35" s="78" t="inlineStr">
        <is>
          <t>UGC_SUBDEGREE_TUITION_2024_25</t>
        </is>
      </c>
      <c r="B35" s="78" t="inlineStr">
        <is>
          <t>UGC資助全日制副學位標準年學費</t>
        </is>
      </c>
      <c r="C35" s="78" t="inlineStr">
        <is>
          <t>2024/25</t>
        </is>
      </c>
      <c r="D35" s="78" t="inlineStr">
        <is>
          <t>中學後</t>
        </is>
      </c>
      <c r="E35" s="78" t="inlineStr">
        <is>
          <t>符合相關UGC資助資格學生</t>
        </is>
      </c>
      <c r="F35" s="78" t="inlineStr">
        <is>
          <t>15040</t>
        </is>
      </c>
      <c r="G35" s="78" t="inlineStr"/>
      <c r="H35" s="78" t="inlineStr">
        <is>
          <t>15040</t>
        </is>
      </c>
      <c r="I35" s="78" t="inlineStr">
        <is>
          <t>HKD／學年</t>
        </is>
      </c>
      <c r="J35" s="78" t="inlineStr">
        <is>
          <t>官方照錄</t>
        </is>
      </c>
      <c r="K35" s="78" t="inlineStr">
        <is>
          <t>UGC-TUITION</t>
        </is>
      </c>
      <c r="L35" s="78" t="inlineStr">
        <is>
          <t>Tuition fee schedule</t>
        </is>
      </c>
      <c r="M35" s="78" t="inlineStr">
        <is>
          <t>僅相關合資格資助副學位課程。</t>
        </is>
      </c>
      <c r="N35" s="78" t="inlineStr">
        <is>
          <t>已核對來源；待獨立複算</t>
        </is>
      </c>
    </row>
    <row r="36" ht="30" customHeight="1">
      <c r="A36" s="77" t="inlineStr">
        <is>
          <t>UGC_DEGREE_TUITION_2025_26</t>
        </is>
      </c>
      <c r="B36" s="77" t="inlineStr">
        <is>
          <t>UGC資助全日制學士／研究生課程標準年學費</t>
        </is>
      </c>
      <c r="C36" s="77" t="inlineStr">
        <is>
          <t>2025/26</t>
        </is>
      </c>
      <c r="D36" s="77" t="inlineStr">
        <is>
          <t>中學後</t>
        </is>
      </c>
      <c r="E36" s="77" t="inlineStr">
        <is>
          <t>符合相關UGC資助資格學生</t>
        </is>
      </c>
      <c r="F36" s="77" t="inlineStr">
        <is>
          <t>44500</t>
        </is>
      </c>
      <c r="G36" s="77" t="inlineStr"/>
      <c r="H36" s="77" t="inlineStr">
        <is>
          <t>44500</t>
        </is>
      </c>
      <c r="I36" s="77" t="inlineStr">
        <is>
          <t>HKD／學年</t>
        </is>
      </c>
      <c r="J36" s="77" t="inlineStr">
        <is>
          <t>官方照錄</t>
        </is>
      </c>
      <c r="K36" s="77" t="inlineStr">
        <is>
          <t>UGC-TUITION</t>
        </is>
      </c>
      <c r="L36" s="77" t="inlineStr">
        <is>
          <t>Tuition fee schedule</t>
        </is>
      </c>
      <c r="M36" s="77" t="inlineStr">
        <is>
          <t>不含自資、非本地學費及生活／住宿等費用。</t>
        </is>
      </c>
      <c r="N36" s="77" t="inlineStr">
        <is>
          <t>已核對來源；待獨立複算</t>
        </is>
      </c>
    </row>
    <row r="37" ht="30" customHeight="1">
      <c r="A37" s="78" t="inlineStr">
        <is>
          <t>UGC_SUBDEGREE_TUITION_2025_26</t>
        </is>
      </c>
      <c r="B37" s="78" t="inlineStr">
        <is>
          <t>UGC資助全日制副學位標準年學費</t>
        </is>
      </c>
      <c r="C37" s="78" t="inlineStr">
        <is>
          <t>2025/26</t>
        </is>
      </c>
      <c r="D37" s="78" t="inlineStr">
        <is>
          <t>中學後</t>
        </is>
      </c>
      <c r="E37" s="78" t="inlineStr">
        <is>
          <t>符合相關UGC資助資格學生</t>
        </is>
      </c>
      <c r="F37" s="78" t="inlineStr">
        <is>
          <t>15900</t>
        </is>
      </c>
      <c r="G37" s="78" t="inlineStr"/>
      <c r="H37" s="78" t="inlineStr">
        <is>
          <t>15900</t>
        </is>
      </c>
      <c r="I37" s="78" t="inlineStr">
        <is>
          <t>HKD／學年</t>
        </is>
      </c>
      <c r="J37" s="78" t="inlineStr">
        <is>
          <t>官方照錄</t>
        </is>
      </c>
      <c r="K37" s="78" t="inlineStr">
        <is>
          <t>UGC-TUITION</t>
        </is>
      </c>
      <c r="L37" s="78" t="inlineStr">
        <is>
          <t>Tuition fee schedule</t>
        </is>
      </c>
      <c r="M37" s="78" t="inlineStr">
        <is>
          <t>僅相關合資格資助副學位課程。</t>
        </is>
      </c>
      <c r="N37" s="78" t="inlineStr">
        <is>
          <t>已核對來源；待獨立複算</t>
        </is>
      </c>
    </row>
    <row r="38" ht="30" customHeight="1">
      <c r="A38" s="77" t="inlineStr">
        <is>
          <t>UGC_DEGREE_TUITION_2026_27</t>
        </is>
      </c>
      <c r="B38" s="77" t="inlineStr">
        <is>
          <t>UGC資助全日制學士／研究生課程標準年學費</t>
        </is>
      </c>
      <c r="C38" s="77" t="inlineStr">
        <is>
          <t>2026/27</t>
        </is>
      </c>
      <c r="D38" s="77" t="inlineStr">
        <is>
          <t>中學後</t>
        </is>
      </c>
      <c r="E38" s="77" t="inlineStr">
        <is>
          <t>符合相關UGC資助資格學生</t>
        </is>
      </c>
      <c r="F38" s="77" t="inlineStr">
        <is>
          <t>47000</t>
        </is>
      </c>
      <c r="G38" s="77" t="inlineStr"/>
      <c r="H38" s="77" t="inlineStr">
        <is>
          <t>47000</t>
        </is>
      </c>
      <c r="I38" s="77" t="inlineStr">
        <is>
          <t>HKD／學年</t>
        </is>
      </c>
      <c r="J38" s="77" t="inlineStr">
        <is>
          <t>官方照錄</t>
        </is>
      </c>
      <c r="K38" s="77" t="inlineStr">
        <is>
          <t>UGC-TUITION</t>
        </is>
      </c>
      <c r="L38" s="77" t="inlineStr">
        <is>
          <t>Tuition fee schedule</t>
        </is>
      </c>
      <c r="M38" s="77" t="inlineStr">
        <is>
          <t>不含自資、非本地學費及生活／住宿等費用。</t>
        </is>
      </c>
      <c r="N38" s="77" t="inlineStr">
        <is>
          <t>已核對來源；待獨立複算</t>
        </is>
      </c>
    </row>
    <row r="39" ht="30" customHeight="1">
      <c r="A39" s="78" t="inlineStr">
        <is>
          <t>UGC_SUBDEGREE_TUITION_2026_27</t>
        </is>
      </c>
      <c r="B39" s="78" t="inlineStr">
        <is>
          <t>UGC資助全日制副學位標準年學費</t>
        </is>
      </c>
      <c r="C39" s="78" t="inlineStr">
        <is>
          <t>2026/27</t>
        </is>
      </c>
      <c r="D39" s="78" t="inlineStr">
        <is>
          <t>中學後</t>
        </is>
      </c>
      <c r="E39" s="78" t="inlineStr">
        <is>
          <t>符合相關UGC資助資格學生</t>
        </is>
      </c>
      <c r="F39" s="78" t="inlineStr">
        <is>
          <t>16800</t>
        </is>
      </c>
      <c r="G39" s="78" t="inlineStr"/>
      <c r="H39" s="78" t="inlineStr">
        <is>
          <t>16800</t>
        </is>
      </c>
      <c r="I39" s="78" t="inlineStr">
        <is>
          <t>HKD／學年</t>
        </is>
      </c>
      <c r="J39" s="78" t="inlineStr">
        <is>
          <t>官方照錄</t>
        </is>
      </c>
      <c r="K39" s="78" t="inlineStr">
        <is>
          <t>UGC-TUITION</t>
        </is>
      </c>
      <c r="L39" s="78" t="inlineStr">
        <is>
          <t>Tuition fee schedule</t>
        </is>
      </c>
      <c r="M39" s="78" t="inlineStr">
        <is>
          <t>僅相關合資格資助副學位課程。</t>
        </is>
      </c>
      <c r="N39" s="78" t="inlineStr">
        <is>
          <t>已核對來源；待獨立複算</t>
        </is>
      </c>
    </row>
    <row r="40" ht="30" customHeight="1">
      <c r="A40" s="77" t="inlineStr">
        <is>
          <t>UGC_DEGREE_TUITION_2027_28</t>
        </is>
      </c>
      <c r="B40" s="77" t="inlineStr">
        <is>
          <t>UGC資助全日制學士／研究生課程標準年學費</t>
        </is>
      </c>
      <c r="C40" s="77" t="inlineStr">
        <is>
          <t>2027/28</t>
        </is>
      </c>
      <c r="D40" s="77" t="inlineStr">
        <is>
          <t>中學後</t>
        </is>
      </c>
      <c r="E40" s="77" t="inlineStr">
        <is>
          <t>符合相關UGC資助資格學生</t>
        </is>
      </c>
      <c r="F40" s="77" t="inlineStr">
        <is>
          <t>49500</t>
        </is>
      </c>
      <c r="G40" s="77" t="inlineStr"/>
      <c r="H40" s="77" t="inlineStr">
        <is>
          <t>49500</t>
        </is>
      </c>
      <c r="I40" s="77" t="inlineStr">
        <is>
          <t>HKD／學年</t>
        </is>
      </c>
      <c r="J40" s="77" t="inlineStr">
        <is>
          <t>官方照錄</t>
        </is>
      </c>
      <c r="K40" s="77" t="inlineStr">
        <is>
          <t>UGC-TUITION</t>
        </is>
      </c>
      <c r="L40" s="77" t="inlineStr">
        <is>
          <t>Tuition fee schedule</t>
        </is>
      </c>
      <c r="M40" s="77" t="inlineStr">
        <is>
          <t>不含自資、非本地學費及生活／住宿等費用。</t>
        </is>
      </c>
      <c r="N40" s="77" t="inlineStr">
        <is>
          <t>已核對來源；待獨立複算</t>
        </is>
      </c>
    </row>
    <row r="41" ht="30" customHeight="1">
      <c r="A41" s="78" t="inlineStr">
        <is>
          <t>UGC_SUBDEGREE_TUITION_2027_28</t>
        </is>
      </c>
      <c r="B41" s="78" t="inlineStr">
        <is>
          <t>UGC資助全日制副學位標準年學費</t>
        </is>
      </c>
      <c r="C41" s="78" t="inlineStr">
        <is>
          <t>2027/28</t>
        </is>
      </c>
      <c r="D41" s="78" t="inlineStr">
        <is>
          <t>中學後</t>
        </is>
      </c>
      <c r="E41" s="78" t="inlineStr">
        <is>
          <t>符合相關UGC資助資格學生</t>
        </is>
      </c>
      <c r="F41" s="78" t="inlineStr">
        <is>
          <t>17800</t>
        </is>
      </c>
      <c r="G41" s="78" t="inlineStr"/>
      <c r="H41" s="78" t="inlineStr">
        <is>
          <t>17800</t>
        </is>
      </c>
      <c r="I41" s="78" t="inlineStr">
        <is>
          <t>HKD／學年</t>
        </is>
      </c>
      <c r="J41" s="78" t="inlineStr">
        <is>
          <t>官方照錄</t>
        </is>
      </c>
      <c r="K41" s="78" t="inlineStr">
        <is>
          <t>UGC-TUITION</t>
        </is>
      </c>
      <c r="L41" s="78" t="inlineStr">
        <is>
          <t>Tuition fee schedule</t>
        </is>
      </c>
      <c r="M41" s="78" t="inlineStr">
        <is>
          <t>僅相關合資格資助副學位課程。</t>
        </is>
      </c>
      <c r="N41" s="78" t="inlineStr">
        <is>
          <t>已核對來源；待獨立複算</t>
        </is>
      </c>
    </row>
    <row r="42" ht="30" customHeight="1">
      <c r="A42" s="77" t="inlineStr">
        <is>
          <t>FASP_TUITION_GRANT_MAX</t>
        </is>
      </c>
      <c r="B42" s="77" t="inlineStr">
        <is>
          <t>FASP最高學費助學金</t>
        </is>
      </c>
      <c r="C42" s="77" t="inlineStr">
        <is>
          <t>2026/27</t>
        </is>
      </c>
      <c r="D42" s="77" t="inlineStr">
        <is>
          <t>中學後</t>
        </is>
      </c>
      <c r="E42" s="77" t="inlineStr">
        <is>
          <t>符合FASP資格的本地全日制自資專上課程學生</t>
        </is>
      </c>
      <c r="F42" s="77" t="inlineStr">
        <is>
          <t>96900</t>
        </is>
      </c>
      <c r="G42" s="77" t="inlineStr"/>
      <c r="H42" s="77" t="inlineStr">
        <is>
          <t>96900</t>
        </is>
      </c>
      <c r="I42" s="77" t="inlineStr">
        <is>
          <t>HKD／學年</t>
        </is>
      </c>
      <c r="J42" s="77" t="inlineStr">
        <is>
          <t>官方上限</t>
        </is>
      </c>
      <c r="K42" s="77" t="inlineStr">
        <is>
          <t>WFSFAA-FASP-2627</t>
        </is>
      </c>
      <c r="L42" s="77" t="inlineStr">
        <is>
          <t>Maximum levels of assistance</t>
        </is>
      </c>
      <c r="M42" s="77" t="inlineStr">
        <is>
          <t>財務審查上限，實際核准額視個案及當年規則。</t>
        </is>
      </c>
      <c r="N42" s="77" t="inlineStr">
        <is>
          <t>已核對來源；待獨立複算</t>
        </is>
      </c>
    </row>
    <row r="43" ht="30" customHeight="1">
      <c r="A43" s="78" t="inlineStr">
        <is>
          <t>FASP_ACADEMIC_GRANT_MAX</t>
        </is>
      </c>
      <c r="B43" s="78" t="inlineStr">
        <is>
          <t>FASP最高學習開支助學金</t>
        </is>
      </c>
      <c r="C43" s="78" t="inlineStr">
        <is>
          <t>2026/27</t>
        </is>
      </c>
      <c r="D43" s="78" t="inlineStr">
        <is>
          <t>中學後</t>
        </is>
      </c>
      <c r="E43" s="78" t="inlineStr">
        <is>
          <t>符合FASP資格的本地全日制自資專上課程學生</t>
        </is>
      </c>
      <c r="F43" s="78" t="inlineStr">
        <is>
          <t>9370</t>
        </is>
      </c>
      <c r="G43" s="78" t="inlineStr"/>
      <c r="H43" s="78" t="inlineStr">
        <is>
          <t>9370</t>
        </is>
      </c>
      <c r="I43" s="78" t="inlineStr">
        <is>
          <t>HKD／學年</t>
        </is>
      </c>
      <c r="J43" s="78" t="inlineStr">
        <is>
          <t>官方上限</t>
        </is>
      </c>
      <c r="K43" s="78" t="inlineStr">
        <is>
          <t>WFSFAA-FASP-2627</t>
        </is>
      </c>
      <c r="L43" s="78" t="inlineStr">
        <is>
          <t>Maximum levels of assistance</t>
        </is>
      </c>
      <c r="M43" s="78" t="inlineStr">
        <is>
          <t>財務審查上限，實際核准額視個案及當年規則。</t>
        </is>
      </c>
      <c r="N43" s="78" t="inlineStr">
        <is>
          <t>已核對來源；待獨立複算</t>
        </is>
      </c>
    </row>
    <row r="44" ht="30" customHeight="1">
      <c r="A44" s="77" t="inlineStr">
        <is>
          <t>FASP_LIVING_LOAN_MAX</t>
        </is>
      </c>
      <c r="B44" s="77" t="inlineStr">
        <is>
          <t>FASP最高生活費貸款</t>
        </is>
      </c>
      <c r="C44" s="77" t="inlineStr">
        <is>
          <t>2026/27</t>
        </is>
      </c>
      <c r="D44" s="77" t="inlineStr">
        <is>
          <t>中學後</t>
        </is>
      </c>
      <c r="E44" s="77" t="inlineStr">
        <is>
          <t>符合FASP資格的本地全日制自資專上課程學生</t>
        </is>
      </c>
      <c r="F44" s="77" t="inlineStr">
        <is>
          <t>58200</t>
        </is>
      </c>
      <c r="G44" s="77" t="inlineStr"/>
      <c r="H44" s="77" t="inlineStr">
        <is>
          <t>58200</t>
        </is>
      </c>
      <c r="I44" s="77" t="inlineStr">
        <is>
          <t>HKD／學年</t>
        </is>
      </c>
      <c r="J44" s="77" t="inlineStr">
        <is>
          <t>官方上限</t>
        </is>
      </c>
      <c r="K44" s="77" t="inlineStr">
        <is>
          <t>WFSFAA-FASP-2627</t>
        </is>
      </c>
      <c r="L44" s="77" t="inlineStr">
        <is>
          <t>Maximum levels of assistance</t>
        </is>
      </c>
      <c r="M44" s="77" t="inlineStr">
        <is>
          <t>財務審查上限，實際核准額視個案及當年規則。</t>
        </is>
      </c>
      <c r="N44" s="77" t="inlineStr">
        <is>
          <t>已核對來源；待獨立複算</t>
        </is>
      </c>
    </row>
    <row r="45" ht="30" customHeight="1">
      <c r="A45" s="78" t="inlineStr">
        <is>
          <t>MAINLAND_HKDSE_INSTITUTIONS</t>
        </is>
      </c>
      <c r="B45" s="78" t="inlineStr">
        <is>
          <t>內地HKDSE收生計劃參與高校</t>
        </is>
      </c>
      <c r="C45" s="78" t="inlineStr">
        <is>
          <t>2026/27</t>
        </is>
      </c>
      <c r="D45" s="78" t="inlineStr">
        <is>
          <t>中學後</t>
        </is>
      </c>
      <c r="E45" s="78" t="inlineStr">
        <is>
          <t>當屆計劃參與院校</t>
        </is>
      </c>
      <c r="F45" s="78" t="inlineStr">
        <is>
          <t>165</t>
        </is>
      </c>
      <c r="G45" s="78" t="inlineStr"/>
      <c r="H45" s="78" t="inlineStr">
        <is>
          <t>165</t>
        </is>
      </c>
      <c r="I45" s="78" t="inlineStr">
        <is>
          <t>所院校</t>
        </is>
      </c>
      <c r="J45" s="78" t="inlineStr">
        <is>
          <t>官方照錄</t>
        </is>
      </c>
      <c r="K45" s="78" t="inlineStr">
        <is>
          <t>EDB-MAINLAND-2627</t>
        </is>
      </c>
      <c r="L45" s="78" t="inlineStr">
        <is>
          <t>2026/27 scheme announcement</t>
        </is>
      </c>
      <c r="M45" s="78" t="inlineStr">
        <is>
          <t>不可外推至2027/28或其後。</t>
        </is>
      </c>
      <c r="N45" s="78" t="inlineStr">
        <is>
          <t>已核對來源；待獨立複算</t>
        </is>
      </c>
    </row>
    <row r="46" ht="30" customHeight="1">
      <c r="A46" s="77" t="inlineStr">
        <is>
          <t>EDB_S6_2025_SCHOOLS</t>
        </is>
      </c>
      <c r="B46" s="77" t="inlineStr">
        <is>
          <t>納入調查的普通中學日校數</t>
        </is>
      </c>
      <c r="C46" s="77" t="inlineStr">
        <is>
          <t>2025</t>
        </is>
      </c>
      <c r="D46" s="77" t="inlineStr">
        <is>
          <t>中學後／中六畢業出口</t>
        </is>
      </c>
      <c r="E46" s="77" t="inlineStr">
        <is>
          <t>提供本地課程並有2025中六畢業生之本地普通中學日校</t>
        </is>
      </c>
      <c r="F46" s="77" t="inlineStr">
        <is>
          <t>445</t>
        </is>
      </c>
      <c r="G46" s="77" t="inlineStr"/>
      <c r="H46" s="77" t="inlineStr">
        <is>
          <t>445</t>
        </is>
      </c>
      <c r="I46" s="77" t="inlineStr">
        <is>
          <t>所</t>
        </is>
      </c>
      <c r="J46" s="77" t="inlineStr">
        <is>
          <t>官方照錄</t>
        </is>
      </c>
      <c r="K46" s="77" t="inlineStr">
        <is>
          <t>EDB-S6-2025</t>
        </is>
      </c>
      <c r="L46" s="77" t="inlineStr">
        <is>
          <t>PDF p.7（印刷頁2），段1.4</t>
        </is>
      </c>
      <c r="M46" s="77" t="inlineStr">
        <is>
          <t>包括官立、資助／按位津貼、提供本地課程的直資及本地私立日校；不代表國際學校。</t>
        </is>
      </c>
      <c r="N46" s="77" t="inlineStr">
        <is>
          <t>已逐表轉錄EDB原PDF並視覺核對；表格加總／口徑檢查通過</t>
        </is>
      </c>
    </row>
    <row r="47" ht="30" customHeight="1">
      <c r="A47" s="78" t="inlineStr">
        <is>
          <t>EDB_S6_2025_TARGET_APPROX</t>
        </is>
      </c>
      <c r="B47" s="78" t="inlineStr">
        <is>
          <t>調查目標畢業生總數（約）</t>
        </is>
      </c>
      <c r="C47" s="78" t="inlineStr">
        <is>
          <t>2025</t>
        </is>
      </c>
      <c r="D47" s="78" t="inlineStr">
        <is>
          <t>中學後／中六畢業出口</t>
        </is>
      </c>
      <c r="E47" s="78" t="inlineStr">
        <is>
          <t>調查涵蓋學校的2025中六畢業生總體</t>
        </is>
      </c>
      <c r="F47" s="78" t="inlineStr">
        <is>
          <t>45100</t>
        </is>
      </c>
      <c r="G47" s="78" t="inlineStr"/>
      <c r="H47" s="78" t="inlineStr">
        <is>
          <t>45100</t>
        </is>
      </c>
      <c r="I47" s="78" t="inlineStr">
        <is>
          <t>人（約）</t>
        </is>
      </c>
      <c r="J47" s="78" t="inlineStr">
        <is>
          <t>官方約數</t>
        </is>
      </c>
      <c r="K47" s="78" t="inlineStr">
        <is>
          <t>EDB-S6-2025</t>
        </is>
      </c>
      <c r="L47" s="78" t="inlineStr">
        <is>
          <t>PDF p.7（印刷頁2），段1.4</t>
        </is>
      </c>
      <c r="M47" s="78" t="inlineStr">
        <is>
          <t>原文some 45 100，是約數；不可當作精確分母。</t>
        </is>
      </c>
      <c r="N47" s="78" t="inlineStr">
        <is>
          <t>已逐表轉錄EDB原PDF並視覺核對；表格加總／口徑檢查通過</t>
        </is>
      </c>
    </row>
    <row r="48" ht="30" customHeight="1">
      <c r="A48" s="77" t="inlineStr">
        <is>
          <t>EDB_S6_2025_RESPONDENTS</t>
        </is>
      </c>
      <c r="B48" s="77" t="inlineStr">
        <is>
          <t>調查有回應畢業生</t>
        </is>
      </c>
      <c r="C48" s="77" t="inlineStr">
        <is>
          <t>2025</t>
        </is>
      </c>
      <c r="D48" s="77" t="inlineStr">
        <is>
          <t>中學後／中六畢業出口</t>
        </is>
      </c>
      <c r="E48" s="77" t="inlineStr">
        <is>
          <t>EDB調查有回應的2025中六畢業生</t>
        </is>
      </c>
      <c r="F48" s="77" t="inlineStr">
        <is>
          <t>43561</t>
        </is>
      </c>
      <c r="G48" s="77" t="inlineStr"/>
      <c r="H48" s="77" t="inlineStr">
        <is>
          <t>43561</t>
        </is>
      </c>
      <c r="I48" s="77" t="inlineStr">
        <is>
          <t>人</t>
        </is>
      </c>
      <c r="J48" s="77" t="inlineStr">
        <is>
          <t>官方照錄</t>
        </is>
      </c>
      <c r="K48" s="77" t="inlineStr">
        <is>
          <t>EDB-S6-2025</t>
        </is>
      </c>
      <c r="L48" s="77" t="inlineStr">
        <is>
          <t>PDF p.9（印刷頁4）及Table 2.1 PDF p.11（印刷頁6）</t>
        </is>
      </c>
      <c r="M48" s="77" t="inlineStr">
        <is>
          <t>各出路比例的全體分母；只涵蓋有回應畢業生。</t>
        </is>
      </c>
      <c r="N48" s="77" t="inlineStr">
        <is>
          <t>已逐表轉錄EDB原PDF並視覺核對；表格加總／口徑檢查通過</t>
        </is>
      </c>
    </row>
    <row r="49" ht="30" customHeight="1">
      <c r="A49" s="78" t="inlineStr">
        <is>
          <t>EDB_S6_2025_RESPONSE_RATE</t>
        </is>
      </c>
      <c r="B49" s="78" t="inlineStr">
        <is>
          <t>調查回應率</t>
        </is>
      </c>
      <c r="C49" s="78" t="inlineStr">
        <is>
          <t>2025</t>
        </is>
      </c>
      <c r="D49" s="78" t="inlineStr">
        <is>
          <t>中學後／中六畢業出口</t>
        </is>
      </c>
      <c r="E49" s="78" t="inlineStr">
        <is>
          <t>以EDB公布調查目標為基礎的回應率</t>
        </is>
      </c>
      <c r="F49" s="78" t="inlineStr">
        <is>
          <t>43561</t>
        </is>
      </c>
      <c r="G49" s="78" t="inlineStr"/>
      <c r="H49" s="78" t="inlineStr">
        <is>
          <t>96.7</t>
        </is>
      </c>
      <c r="I49" s="78" t="inlineStr">
        <is>
          <t>%</t>
        </is>
      </c>
      <c r="J49" s="78" t="inlineStr">
        <is>
          <t>官方公布比例</t>
        </is>
      </c>
      <c r="K49" s="78" t="inlineStr">
        <is>
          <t>EDB-S6-2025</t>
        </is>
      </c>
      <c r="L49" s="78" t="inlineStr">
        <is>
          <t>PDF p.7（印刷頁2），段1.4</t>
        </is>
      </c>
      <c r="M49" s="78" t="inlineStr">
        <is>
          <t>EDB公布96.7%；目標總人數為約45,100，故不以約數自行重新計算精確回應率。</t>
        </is>
      </c>
      <c r="N49" s="78" t="inlineStr">
        <is>
          <t>已逐表轉錄EDB原PDF並視覺核對；表格加總／口徑檢查通過</t>
        </is>
      </c>
    </row>
    <row r="50" ht="30" customHeight="1">
      <c r="A50" s="77" t="inlineStr">
        <is>
          <t>EDB_S6_2025_T21_FULL_TIME_STUDY_ALL_COUNT</t>
        </is>
      </c>
      <c r="B50" s="77" t="inlineStr">
        <is>
          <t>表2.1｜全體回應畢業生｜全日制求學人數</t>
        </is>
      </c>
      <c r="C50" s="77" t="inlineStr">
        <is>
          <t>2025</t>
        </is>
      </c>
      <c r="D50" s="77" t="inlineStr">
        <is>
          <t>中學後／中六畢業出口</t>
        </is>
      </c>
      <c r="E50" s="77" t="inlineStr">
        <is>
          <t>全體回應畢業生的有回應中六畢業生</t>
        </is>
      </c>
      <c r="F50" s="77" t="inlineStr">
        <is>
          <t>40948</t>
        </is>
      </c>
      <c r="G50" s="77" t="inlineStr">
        <is>
          <t>43561</t>
        </is>
      </c>
      <c r="H50" s="77" t="inlineStr">
        <is>
          <t>40948</t>
        </is>
      </c>
      <c r="I50" s="77" t="inlineStr">
        <is>
          <t>人</t>
        </is>
      </c>
      <c r="J50" s="77" t="inlineStr">
        <is>
          <t>官方照錄</t>
        </is>
      </c>
      <c r="K50" s="77" t="inlineStr">
        <is>
          <t>EDB-S6-2025</t>
        </is>
      </c>
      <c r="L50" s="77" t="inlineStr">
        <is>
          <t>PDF p.11（印刷頁6），Table 2.1</t>
        </is>
      </c>
      <c r="M50" s="77" t="inlineStr">
        <is>
          <t>2025年10月狀態；學校類別的分母是該類別全部有回應畢業生。</t>
        </is>
      </c>
      <c r="N50" s="77" t="inlineStr">
        <is>
          <t>已逐表轉錄EDB原PDF並視覺核對；表格加總／口徑檢查通過</t>
        </is>
      </c>
    </row>
    <row r="51" ht="30" customHeight="1">
      <c r="A51" s="78" t="inlineStr">
        <is>
          <t>EDB_S6_2025_T21_FULL_TIME_STUDY_ALL_SHARE</t>
        </is>
      </c>
      <c r="B51" s="78" t="inlineStr">
        <is>
          <t>表2.1｜全體回應畢業生｜全日制求學比例</t>
        </is>
      </c>
      <c r="C51" s="78" t="inlineStr">
        <is>
          <t>2025</t>
        </is>
      </c>
      <c r="D51" s="78" t="inlineStr">
        <is>
          <t>中學後／中六畢業出口</t>
        </is>
      </c>
      <c r="E51" s="78" t="inlineStr">
        <is>
          <t>全體回應畢業生的有回應中六畢業生</t>
        </is>
      </c>
      <c r="F51" s="78" t="inlineStr">
        <is>
          <t>40948</t>
        </is>
      </c>
      <c r="G51" s="78" t="inlineStr">
        <is>
          <t>43561</t>
        </is>
      </c>
      <c r="H51" s="78" t="inlineStr">
        <is>
          <t>94.0</t>
        </is>
      </c>
      <c r="I51" s="78" t="inlineStr">
        <is>
          <t>%</t>
        </is>
      </c>
      <c r="J51" s="78" t="inlineStr">
        <is>
          <t>官方公布比例</t>
        </is>
      </c>
      <c r="K51" s="78" t="inlineStr">
        <is>
          <t>EDB-S6-2025</t>
        </is>
      </c>
      <c r="L51" s="78" t="inlineStr">
        <is>
          <t>PDF p.11（印刷頁6），Table 2.1</t>
        </is>
      </c>
      <c r="M51" s="78" t="inlineStr">
        <is>
          <t>原表比例；一位小數，類別比例總和可能因四捨五入為99.9%。</t>
        </is>
      </c>
      <c r="N51" s="78" t="inlineStr">
        <is>
          <t>已逐表轉錄EDB原PDF並視覺核對；表格加總／口徑檢查通過</t>
        </is>
      </c>
    </row>
    <row r="52" ht="30" customHeight="1">
      <c r="A52" s="77" t="inlineStr">
        <is>
          <t>EDB_S6_2025_T21_FULL_TIME_EMPLOYMENT_ALL_COUNT</t>
        </is>
      </c>
      <c r="B52" s="77" t="inlineStr">
        <is>
          <t>表2.1｜全體回應畢業生｜全職工作人數</t>
        </is>
      </c>
      <c r="C52" s="77" t="inlineStr">
        <is>
          <t>2025</t>
        </is>
      </c>
      <c r="D52" s="77" t="inlineStr">
        <is>
          <t>中學後／中六畢業出口</t>
        </is>
      </c>
      <c r="E52" s="77" t="inlineStr">
        <is>
          <t>全體回應畢業生的有回應中六畢業生</t>
        </is>
      </c>
      <c r="F52" s="77" t="inlineStr">
        <is>
          <t>962</t>
        </is>
      </c>
      <c r="G52" s="77" t="inlineStr">
        <is>
          <t>43561</t>
        </is>
      </c>
      <c r="H52" s="77" t="inlineStr">
        <is>
          <t>962</t>
        </is>
      </c>
      <c r="I52" s="77" t="inlineStr">
        <is>
          <t>人</t>
        </is>
      </c>
      <c r="J52" s="77" t="inlineStr">
        <is>
          <t>官方照錄</t>
        </is>
      </c>
      <c r="K52" s="77" t="inlineStr">
        <is>
          <t>EDB-S6-2025</t>
        </is>
      </c>
      <c r="L52" s="77" t="inlineStr">
        <is>
          <t>PDF p.11（印刷頁6），Table 2.1</t>
        </is>
      </c>
      <c r="M52" s="77" t="inlineStr">
        <is>
          <t>2025年10月狀態；學校類別的分母是該類別全部有回應畢業生。</t>
        </is>
      </c>
      <c r="N52" s="77" t="inlineStr">
        <is>
          <t>已逐表轉錄EDB原PDF並視覺核對；表格加總／口徑檢查通過</t>
        </is>
      </c>
    </row>
    <row r="53" ht="30" customHeight="1">
      <c r="A53" s="78" t="inlineStr">
        <is>
          <t>EDB_S6_2025_T21_FULL_TIME_EMPLOYMENT_ALL_SHARE</t>
        </is>
      </c>
      <c r="B53" s="78" t="inlineStr">
        <is>
          <t>表2.1｜全體回應畢業生｜全職工作比例</t>
        </is>
      </c>
      <c r="C53" s="78" t="inlineStr">
        <is>
          <t>2025</t>
        </is>
      </c>
      <c r="D53" s="78" t="inlineStr">
        <is>
          <t>中學後／中六畢業出口</t>
        </is>
      </c>
      <c r="E53" s="78" t="inlineStr">
        <is>
          <t>全體回應畢業生的有回應中六畢業生</t>
        </is>
      </c>
      <c r="F53" s="78" t="inlineStr">
        <is>
          <t>962</t>
        </is>
      </c>
      <c r="G53" s="78" t="inlineStr">
        <is>
          <t>43561</t>
        </is>
      </c>
      <c r="H53" s="78" t="inlineStr">
        <is>
          <t>2.2</t>
        </is>
      </c>
      <c r="I53" s="78" t="inlineStr">
        <is>
          <t>%</t>
        </is>
      </c>
      <c r="J53" s="78" t="inlineStr">
        <is>
          <t>官方公布比例</t>
        </is>
      </c>
      <c r="K53" s="78" t="inlineStr">
        <is>
          <t>EDB-S6-2025</t>
        </is>
      </c>
      <c r="L53" s="78" t="inlineStr">
        <is>
          <t>PDF p.11（印刷頁6），Table 2.1</t>
        </is>
      </c>
      <c r="M53" s="78" t="inlineStr">
        <is>
          <t>原表比例；一位小數，類別比例總和可能因四捨五入為99.9%。</t>
        </is>
      </c>
      <c r="N53" s="78" t="inlineStr">
        <is>
          <t>已逐表轉錄EDB原PDF並視覺核對；表格加總／口徑檢查通過</t>
        </is>
      </c>
    </row>
    <row r="54" ht="30" customHeight="1">
      <c r="A54" s="77" t="inlineStr">
        <is>
          <t>EDB_S6_2025_T21_PART_TIME_EMPLOYMENT_STUDY_ALL_COUNT</t>
        </is>
      </c>
      <c r="B54" s="77" t="inlineStr">
        <is>
          <t>表2.1｜全體回應畢業生｜部分時間工作／求學人數</t>
        </is>
      </c>
      <c r="C54" s="77" t="inlineStr">
        <is>
          <t>2025</t>
        </is>
      </c>
      <c r="D54" s="77" t="inlineStr">
        <is>
          <t>中學後／中六畢業出口</t>
        </is>
      </c>
      <c r="E54" s="77" t="inlineStr">
        <is>
          <t>全體回應畢業生的有回應中六畢業生</t>
        </is>
      </c>
      <c r="F54" s="77" t="inlineStr">
        <is>
          <t>1115</t>
        </is>
      </c>
      <c r="G54" s="77" t="inlineStr">
        <is>
          <t>43561</t>
        </is>
      </c>
      <c r="H54" s="77" t="inlineStr">
        <is>
          <t>1115</t>
        </is>
      </c>
      <c r="I54" s="77" t="inlineStr">
        <is>
          <t>人</t>
        </is>
      </c>
      <c r="J54" s="77" t="inlineStr">
        <is>
          <t>官方照錄</t>
        </is>
      </c>
      <c r="K54" s="77" t="inlineStr">
        <is>
          <t>EDB-S6-2025</t>
        </is>
      </c>
      <c r="L54" s="77" t="inlineStr">
        <is>
          <t>PDF p.11（印刷頁6），Table 2.1</t>
        </is>
      </c>
      <c r="M54" s="77" t="inlineStr">
        <is>
          <t>2025年10月狀態；學校類別的分母是該類別全部有回應畢業生。</t>
        </is>
      </c>
      <c r="N54" s="77" t="inlineStr">
        <is>
          <t>已逐表轉錄EDB原PDF並視覺核對；表格加總／口徑檢查通過</t>
        </is>
      </c>
    </row>
    <row r="55" ht="30" customHeight="1">
      <c r="A55" s="78" t="inlineStr">
        <is>
          <t>EDB_S6_2025_T21_PART_TIME_EMPLOYMENT_STUDY_ALL_SHARE</t>
        </is>
      </c>
      <c r="B55" s="78" t="inlineStr">
        <is>
          <t>表2.1｜全體回應畢業生｜部分時間工作／求學比例</t>
        </is>
      </c>
      <c r="C55" s="78" t="inlineStr">
        <is>
          <t>2025</t>
        </is>
      </c>
      <c r="D55" s="78" t="inlineStr">
        <is>
          <t>中學後／中六畢業出口</t>
        </is>
      </c>
      <c r="E55" s="78" t="inlineStr">
        <is>
          <t>全體回應畢業生的有回應中六畢業生</t>
        </is>
      </c>
      <c r="F55" s="78" t="inlineStr">
        <is>
          <t>1115</t>
        </is>
      </c>
      <c r="G55" s="78" t="inlineStr">
        <is>
          <t>43561</t>
        </is>
      </c>
      <c r="H55" s="78" t="inlineStr">
        <is>
          <t>2.6</t>
        </is>
      </c>
      <c r="I55" s="78" t="inlineStr">
        <is>
          <t>%</t>
        </is>
      </c>
      <c r="J55" s="78" t="inlineStr">
        <is>
          <t>官方公布比例</t>
        </is>
      </c>
      <c r="K55" s="78" t="inlineStr">
        <is>
          <t>EDB-S6-2025</t>
        </is>
      </c>
      <c r="L55" s="78" t="inlineStr">
        <is>
          <t>PDF p.11（印刷頁6），Table 2.1</t>
        </is>
      </c>
      <c r="M55" s="78" t="inlineStr">
        <is>
          <t>原表比例；一位小數，類別比例總和可能因四捨五入為99.9%。</t>
        </is>
      </c>
      <c r="N55" s="78" t="inlineStr">
        <is>
          <t>已逐表轉錄EDB原PDF並視覺核對；表格加總／口徑檢查通過</t>
        </is>
      </c>
    </row>
    <row r="56" ht="30" customHeight="1">
      <c r="A56" s="77" t="inlineStr">
        <is>
          <t>EDB_S6_2025_T21_NEITHER_EMPLOYMENT_NOR_STUDY_ALL_COUNT</t>
        </is>
      </c>
      <c r="B56" s="77" t="inlineStr">
        <is>
          <t>表2.1｜全體回應畢業生｜既非工作亦非求學人數</t>
        </is>
      </c>
      <c r="C56" s="77" t="inlineStr">
        <is>
          <t>2025</t>
        </is>
      </c>
      <c r="D56" s="77" t="inlineStr">
        <is>
          <t>中學後／中六畢業出口</t>
        </is>
      </c>
      <c r="E56" s="77" t="inlineStr">
        <is>
          <t>全體回應畢業生的有回應中六畢業生</t>
        </is>
      </c>
      <c r="F56" s="77" t="inlineStr">
        <is>
          <t>536</t>
        </is>
      </c>
      <c r="G56" s="77" t="inlineStr">
        <is>
          <t>43561</t>
        </is>
      </c>
      <c r="H56" s="77" t="inlineStr">
        <is>
          <t>536</t>
        </is>
      </c>
      <c r="I56" s="77" t="inlineStr">
        <is>
          <t>人</t>
        </is>
      </c>
      <c r="J56" s="77" t="inlineStr">
        <is>
          <t>官方照錄</t>
        </is>
      </c>
      <c r="K56" s="77" t="inlineStr">
        <is>
          <t>EDB-S6-2025</t>
        </is>
      </c>
      <c r="L56" s="77" t="inlineStr">
        <is>
          <t>PDF p.11（印刷頁6），Table 2.1</t>
        </is>
      </c>
      <c r="M56" s="77" t="inlineStr">
        <is>
          <t>2025年10月狀態；學校類別的分母是該類別全部有回應畢業生。</t>
        </is>
      </c>
      <c r="N56" s="77" t="inlineStr">
        <is>
          <t>已逐表轉錄EDB原PDF並視覺核對；表格加總／口徑檢查通過</t>
        </is>
      </c>
    </row>
    <row r="57" ht="30" customHeight="1">
      <c r="A57" s="78" t="inlineStr">
        <is>
          <t>EDB_S6_2025_T21_NEITHER_EMPLOYMENT_NOR_STUDY_ALL_SHARE</t>
        </is>
      </c>
      <c r="B57" s="78" t="inlineStr">
        <is>
          <t>表2.1｜全體回應畢業生｜既非工作亦非求學比例</t>
        </is>
      </c>
      <c r="C57" s="78" t="inlineStr">
        <is>
          <t>2025</t>
        </is>
      </c>
      <c r="D57" s="78" t="inlineStr">
        <is>
          <t>中學後／中六畢業出口</t>
        </is>
      </c>
      <c r="E57" s="78" t="inlineStr">
        <is>
          <t>全體回應畢業生的有回應中六畢業生</t>
        </is>
      </c>
      <c r="F57" s="78" t="inlineStr">
        <is>
          <t>536</t>
        </is>
      </c>
      <c r="G57" s="78" t="inlineStr">
        <is>
          <t>43561</t>
        </is>
      </c>
      <c r="H57" s="78" t="inlineStr">
        <is>
          <t>1.2</t>
        </is>
      </c>
      <c r="I57" s="78" t="inlineStr">
        <is>
          <t>%</t>
        </is>
      </c>
      <c r="J57" s="78" t="inlineStr">
        <is>
          <t>官方公布比例</t>
        </is>
      </c>
      <c r="K57" s="78" t="inlineStr">
        <is>
          <t>EDB-S6-2025</t>
        </is>
      </c>
      <c r="L57" s="78" t="inlineStr">
        <is>
          <t>PDF p.11（印刷頁6），Table 2.1</t>
        </is>
      </c>
      <c r="M57" s="78" t="inlineStr">
        <is>
          <t>原表比例；一位小數，類別比例總和可能因四捨五入為99.9%。</t>
        </is>
      </c>
      <c r="N57" s="78" t="inlineStr">
        <is>
          <t>已逐表轉錄EDB原PDF並視覺核對；表格加總／口徑檢查通過</t>
        </is>
      </c>
    </row>
    <row r="58" ht="30" customHeight="1">
      <c r="A58" s="77" t="inlineStr">
        <is>
          <t>EDB_S6_2025_T21_FULL_TIME_STUDY_GOV_COUNT</t>
        </is>
      </c>
      <c r="B58" s="77" t="inlineStr">
        <is>
          <t>表2.1｜官立｜全日制求學人數</t>
        </is>
      </c>
      <c r="C58" s="77" t="inlineStr">
        <is>
          <t>2025</t>
        </is>
      </c>
      <c r="D58" s="77" t="inlineStr">
        <is>
          <t>中學後／中六畢業出口</t>
        </is>
      </c>
      <c r="E58" s="77" t="inlineStr">
        <is>
          <t>官立的有回應中六畢業生</t>
        </is>
      </c>
      <c r="F58" s="77" t="inlineStr">
        <is>
          <t>2805</t>
        </is>
      </c>
      <c r="G58" s="77" t="inlineStr">
        <is>
          <t>2982</t>
        </is>
      </c>
      <c r="H58" s="77" t="inlineStr">
        <is>
          <t>2805</t>
        </is>
      </c>
      <c r="I58" s="77" t="inlineStr">
        <is>
          <t>人</t>
        </is>
      </c>
      <c r="J58" s="77" t="inlineStr">
        <is>
          <t>官方照錄</t>
        </is>
      </c>
      <c r="K58" s="77" t="inlineStr">
        <is>
          <t>EDB-S6-2025</t>
        </is>
      </c>
      <c r="L58" s="77" t="inlineStr">
        <is>
          <t>PDF p.11（印刷頁6），Table 2.1</t>
        </is>
      </c>
      <c r="M58" s="77" t="inlineStr">
        <is>
          <t>2025年10月狀態；學校類別的分母是該類別全部有回應畢業生。</t>
        </is>
      </c>
      <c r="N58" s="77" t="inlineStr">
        <is>
          <t>已逐表轉錄EDB原PDF並視覺核對；表格加總／口徑檢查通過</t>
        </is>
      </c>
    </row>
    <row r="59" ht="30" customHeight="1">
      <c r="A59" s="78" t="inlineStr">
        <is>
          <t>EDB_S6_2025_T21_FULL_TIME_STUDY_GOV_SHARE</t>
        </is>
      </c>
      <c r="B59" s="78" t="inlineStr">
        <is>
          <t>表2.1｜官立｜全日制求學比例</t>
        </is>
      </c>
      <c r="C59" s="78" t="inlineStr">
        <is>
          <t>2025</t>
        </is>
      </c>
      <c r="D59" s="78" t="inlineStr">
        <is>
          <t>中學後／中六畢業出口</t>
        </is>
      </c>
      <c r="E59" s="78" t="inlineStr">
        <is>
          <t>官立的有回應中六畢業生</t>
        </is>
      </c>
      <c r="F59" s="78" t="inlineStr">
        <is>
          <t>2805</t>
        </is>
      </c>
      <c r="G59" s="78" t="inlineStr">
        <is>
          <t>2982</t>
        </is>
      </c>
      <c r="H59" s="78" t="inlineStr">
        <is>
          <t>94.1</t>
        </is>
      </c>
      <c r="I59" s="78" t="inlineStr">
        <is>
          <t>%</t>
        </is>
      </c>
      <c r="J59" s="78" t="inlineStr">
        <is>
          <t>官方公布比例</t>
        </is>
      </c>
      <c r="K59" s="78" t="inlineStr">
        <is>
          <t>EDB-S6-2025</t>
        </is>
      </c>
      <c r="L59" s="78" t="inlineStr">
        <is>
          <t>PDF p.11（印刷頁6），Table 2.1</t>
        </is>
      </c>
      <c r="M59" s="78" t="inlineStr">
        <is>
          <t>原表比例；一位小數，類別比例總和可能因四捨五入為99.9%。</t>
        </is>
      </c>
      <c r="N59" s="78" t="inlineStr">
        <is>
          <t>已逐表轉錄EDB原PDF並視覺核對；表格加總／口徑檢查通過</t>
        </is>
      </c>
    </row>
    <row r="60" ht="30" customHeight="1">
      <c r="A60" s="77" t="inlineStr">
        <is>
          <t>EDB_S6_2025_T21_FULL_TIME_EMPLOYMENT_GOV_COUNT</t>
        </is>
      </c>
      <c r="B60" s="77" t="inlineStr">
        <is>
          <t>表2.1｜官立｜全職工作人數</t>
        </is>
      </c>
      <c r="C60" s="77" t="inlineStr">
        <is>
          <t>2025</t>
        </is>
      </c>
      <c r="D60" s="77" t="inlineStr">
        <is>
          <t>中學後／中六畢業出口</t>
        </is>
      </c>
      <c r="E60" s="77" t="inlineStr">
        <is>
          <t>官立的有回應中六畢業生</t>
        </is>
      </c>
      <c r="F60" s="77" t="inlineStr">
        <is>
          <t>73</t>
        </is>
      </c>
      <c r="G60" s="77" t="inlineStr">
        <is>
          <t>2982</t>
        </is>
      </c>
      <c r="H60" s="77" t="inlineStr">
        <is>
          <t>73</t>
        </is>
      </c>
      <c r="I60" s="77" t="inlineStr">
        <is>
          <t>人</t>
        </is>
      </c>
      <c r="J60" s="77" t="inlineStr">
        <is>
          <t>官方照錄</t>
        </is>
      </c>
      <c r="K60" s="77" t="inlineStr">
        <is>
          <t>EDB-S6-2025</t>
        </is>
      </c>
      <c r="L60" s="77" t="inlineStr">
        <is>
          <t>PDF p.11（印刷頁6），Table 2.1</t>
        </is>
      </c>
      <c r="M60" s="77" t="inlineStr">
        <is>
          <t>2025年10月狀態；學校類別的分母是該類別全部有回應畢業生。</t>
        </is>
      </c>
      <c r="N60" s="77" t="inlineStr">
        <is>
          <t>已逐表轉錄EDB原PDF並視覺核對；表格加總／口徑檢查通過</t>
        </is>
      </c>
    </row>
    <row r="61" ht="30" customHeight="1">
      <c r="A61" s="78" t="inlineStr">
        <is>
          <t>EDB_S6_2025_T21_FULL_TIME_EMPLOYMENT_GOV_SHARE</t>
        </is>
      </c>
      <c r="B61" s="78" t="inlineStr">
        <is>
          <t>表2.1｜官立｜全職工作比例</t>
        </is>
      </c>
      <c r="C61" s="78" t="inlineStr">
        <is>
          <t>2025</t>
        </is>
      </c>
      <c r="D61" s="78" t="inlineStr">
        <is>
          <t>中學後／中六畢業出口</t>
        </is>
      </c>
      <c r="E61" s="78" t="inlineStr">
        <is>
          <t>官立的有回應中六畢業生</t>
        </is>
      </c>
      <c r="F61" s="78" t="inlineStr">
        <is>
          <t>73</t>
        </is>
      </c>
      <c r="G61" s="78" t="inlineStr">
        <is>
          <t>2982</t>
        </is>
      </c>
      <c r="H61" s="78" t="inlineStr">
        <is>
          <t>2.4</t>
        </is>
      </c>
      <c r="I61" s="78" t="inlineStr">
        <is>
          <t>%</t>
        </is>
      </c>
      <c r="J61" s="78" t="inlineStr">
        <is>
          <t>官方公布比例</t>
        </is>
      </c>
      <c r="K61" s="78" t="inlineStr">
        <is>
          <t>EDB-S6-2025</t>
        </is>
      </c>
      <c r="L61" s="78" t="inlineStr">
        <is>
          <t>PDF p.11（印刷頁6），Table 2.1</t>
        </is>
      </c>
      <c r="M61" s="78" t="inlineStr">
        <is>
          <t>原表比例；一位小數，類別比例總和可能因四捨五入為99.9%。</t>
        </is>
      </c>
      <c r="N61" s="78" t="inlineStr">
        <is>
          <t>已逐表轉錄EDB原PDF並視覺核對；表格加總／口徑檢查通過</t>
        </is>
      </c>
    </row>
    <row r="62" ht="30" customHeight="1">
      <c r="A62" s="77" t="inlineStr">
        <is>
          <t>EDB_S6_2025_T21_PART_TIME_EMPLOYMENT_STUDY_GOV_COUNT</t>
        </is>
      </c>
      <c r="B62" s="77" t="inlineStr">
        <is>
          <t>表2.1｜官立｜部分時間工作／求學人數</t>
        </is>
      </c>
      <c r="C62" s="77" t="inlineStr">
        <is>
          <t>2025</t>
        </is>
      </c>
      <c r="D62" s="77" t="inlineStr">
        <is>
          <t>中學後／中六畢業出口</t>
        </is>
      </c>
      <c r="E62" s="77" t="inlineStr">
        <is>
          <t>官立的有回應中六畢業生</t>
        </is>
      </c>
      <c r="F62" s="77" t="inlineStr">
        <is>
          <t>70</t>
        </is>
      </c>
      <c r="G62" s="77" t="inlineStr">
        <is>
          <t>2982</t>
        </is>
      </c>
      <c r="H62" s="77" t="inlineStr">
        <is>
          <t>70</t>
        </is>
      </c>
      <c r="I62" s="77" t="inlineStr">
        <is>
          <t>人</t>
        </is>
      </c>
      <c r="J62" s="77" t="inlineStr">
        <is>
          <t>官方照錄</t>
        </is>
      </c>
      <c r="K62" s="77" t="inlineStr">
        <is>
          <t>EDB-S6-2025</t>
        </is>
      </c>
      <c r="L62" s="77" t="inlineStr">
        <is>
          <t>PDF p.11（印刷頁6），Table 2.1</t>
        </is>
      </c>
      <c r="M62" s="77" t="inlineStr">
        <is>
          <t>2025年10月狀態；學校類別的分母是該類別全部有回應畢業生。</t>
        </is>
      </c>
      <c r="N62" s="77" t="inlineStr">
        <is>
          <t>已逐表轉錄EDB原PDF並視覺核對；表格加總／口徑檢查通過</t>
        </is>
      </c>
    </row>
    <row r="63" ht="30" customHeight="1">
      <c r="A63" s="78" t="inlineStr">
        <is>
          <t>EDB_S6_2025_T21_PART_TIME_EMPLOYMENT_STUDY_GOV_SHARE</t>
        </is>
      </c>
      <c r="B63" s="78" t="inlineStr">
        <is>
          <t>表2.1｜官立｜部分時間工作／求學比例</t>
        </is>
      </c>
      <c r="C63" s="78" t="inlineStr">
        <is>
          <t>2025</t>
        </is>
      </c>
      <c r="D63" s="78" t="inlineStr">
        <is>
          <t>中學後／中六畢業出口</t>
        </is>
      </c>
      <c r="E63" s="78" t="inlineStr">
        <is>
          <t>官立的有回應中六畢業生</t>
        </is>
      </c>
      <c r="F63" s="78" t="inlineStr">
        <is>
          <t>70</t>
        </is>
      </c>
      <c r="G63" s="78" t="inlineStr">
        <is>
          <t>2982</t>
        </is>
      </c>
      <c r="H63" s="78" t="inlineStr">
        <is>
          <t>2.3</t>
        </is>
      </c>
      <c r="I63" s="78" t="inlineStr">
        <is>
          <t>%</t>
        </is>
      </c>
      <c r="J63" s="78" t="inlineStr">
        <is>
          <t>官方公布比例</t>
        </is>
      </c>
      <c r="K63" s="78" t="inlineStr">
        <is>
          <t>EDB-S6-2025</t>
        </is>
      </c>
      <c r="L63" s="78" t="inlineStr">
        <is>
          <t>PDF p.11（印刷頁6），Table 2.1</t>
        </is>
      </c>
      <c r="M63" s="78" t="inlineStr">
        <is>
          <t>原表比例；一位小數，類別比例總和可能因四捨五入為99.9%。</t>
        </is>
      </c>
      <c r="N63" s="78" t="inlineStr">
        <is>
          <t>已逐表轉錄EDB原PDF並視覺核對；表格加總／口徑檢查通過</t>
        </is>
      </c>
    </row>
    <row r="64" ht="30" customHeight="1">
      <c r="A64" s="77" t="inlineStr">
        <is>
          <t>EDB_S6_2025_T21_NEITHER_EMPLOYMENT_NOR_STUDY_GOV_COUNT</t>
        </is>
      </c>
      <c r="B64" s="77" t="inlineStr">
        <is>
          <t>表2.1｜官立｜既非工作亦非求學人數</t>
        </is>
      </c>
      <c r="C64" s="77" t="inlineStr">
        <is>
          <t>2025</t>
        </is>
      </c>
      <c r="D64" s="77" t="inlineStr">
        <is>
          <t>中學後／中六畢業出口</t>
        </is>
      </c>
      <c r="E64" s="77" t="inlineStr">
        <is>
          <t>官立的有回應中六畢業生</t>
        </is>
      </c>
      <c r="F64" s="77" t="inlineStr">
        <is>
          <t>34</t>
        </is>
      </c>
      <c r="G64" s="77" t="inlineStr">
        <is>
          <t>2982</t>
        </is>
      </c>
      <c r="H64" s="77" t="inlineStr">
        <is>
          <t>34</t>
        </is>
      </c>
      <c r="I64" s="77" t="inlineStr">
        <is>
          <t>人</t>
        </is>
      </c>
      <c r="J64" s="77" t="inlineStr">
        <is>
          <t>官方照錄</t>
        </is>
      </c>
      <c r="K64" s="77" t="inlineStr">
        <is>
          <t>EDB-S6-2025</t>
        </is>
      </c>
      <c r="L64" s="77" t="inlineStr">
        <is>
          <t>PDF p.11（印刷頁6），Table 2.1</t>
        </is>
      </c>
      <c r="M64" s="77" t="inlineStr">
        <is>
          <t>2025年10月狀態；學校類別的分母是該類別全部有回應畢業生。</t>
        </is>
      </c>
      <c r="N64" s="77" t="inlineStr">
        <is>
          <t>已逐表轉錄EDB原PDF並視覺核對；表格加總／口徑檢查通過</t>
        </is>
      </c>
    </row>
    <row r="65" ht="30" customHeight="1">
      <c r="A65" s="78" t="inlineStr">
        <is>
          <t>EDB_S6_2025_T21_NEITHER_EMPLOYMENT_NOR_STUDY_GOV_SHARE</t>
        </is>
      </c>
      <c r="B65" s="78" t="inlineStr">
        <is>
          <t>表2.1｜官立｜既非工作亦非求學比例</t>
        </is>
      </c>
      <c r="C65" s="78" t="inlineStr">
        <is>
          <t>2025</t>
        </is>
      </c>
      <c r="D65" s="78" t="inlineStr">
        <is>
          <t>中學後／中六畢業出口</t>
        </is>
      </c>
      <c r="E65" s="78" t="inlineStr">
        <is>
          <t>官立的有回應中六畢業生</t>
        </is>
      </c>
      <c r="F65" s="78" t="inlineStr">
        <is>
          <t>34</t>
        </is>
      </c>
      <c r="G65" s="78" t="inlineStr">
        <is>
          <t>2982</t>
        </is>
      </c>
      <c r="H65" s="78" t="inlineStr">
        <is>
          <t>1.1</t>
        </is>
      </c>
      <c r="I65" s="78" t="inlineStr">
        <is>
          <t>%</t>
        </is>
      </c>
      <c r="J65" s="78" t="inlineStr">
        <is>
          <t>官方公布比例</t>
        </is>
      </c>
      <c r="K65" s="78" t="inlineStr">
        <is>
          <t>EDB-S6-2025</t>
        </is>
      </c>
      <c r="L65" s="78" t="inlineStr">
        <is>
          <t>PDF p.11（印刷頁6），Table 2.1</t>
        </is>
      </c>
      <c r="M65" s="78" t="inlineStr">
        <is>
          <t>原表比例；一位小數，類別比例總和可能因四捨五入為99.9%。</t>
        </is>
      </c>
      <c r="N65" s="78" t="inlineStr">
        <is>
          <t>已逐表轉錄EDB原PDF並視覺核對；表格加總／口徑檢查通過</t>
        </is>
      </c>
    </row>
    <row r="66" ht="30" customHeight="1">
      <c r="A66" s="77" t="inlineStr">
        <is>
          <t>EDB_S6_2025_T21_FULL_TIME_STUDY_AIDED_CAPUT_COUNT</t>
        </is>
      </c>
      <c r="B66" s="77" t="inlineStr">
        <is>
          <t>表2.1｜資助／按位津貼｜全日制求學人數</t>
        </is>
      </c>
      <c r="C66" s="77" t="inlineStr">
        <is>
          <t>2025</t>
        </is>
      </c>
      <c r="D66" s="77" t="inlineStr">
        <is>
          <t>中學後／中六畢業出口</t>
        </is>
      </c>
      <c r="E66" s="77" t="inlineStr">
        <is>
          <t>資助／按位津貼的有回應中六畢業生</t>
        </is>
      </c>
      <c r="F66" s="77" t="inlineStr">
        <is>
          <t>32337</t>
        </is>
      </c>
      <c r="G66" s="77" t="inlineStr">
        <is>
          <t>34359</t>
        </is>
      </c>
      <c r="H66" s="77" t="inlineStr">
        <is>
          <t>32337</t>
        </is>
      </c>
      <c r="I66" s="77" t="inlineStr">
        <is>
          <t>人</t>
        </is>
      </c>
      <c r="J66" s="77" t="inlineStr">
        <is>
          <t>官方照錄</t>
        </is>
      </c>
      <c r="K66" s="77" t="inlineStr">
        <is>
          <t>EDB-S6-2025</t>
        </is>
      </c>
      <c r="L66" s="77" t="inlineStr">
        <is>
          <t>PDF p.11（印刷頁6），Table 2.1</t>
        </is>
      </c>
      <c r="M66" s="77" t="inlineStr">
        <is>
          <t>2025年10月狀態；學校類別的分母是該類別全部有回應畢業生。</t>
        </is>
      </c>
      <c r="N66" s="77" t="inlineStr">
        <is>
          <t>已逐表轉錄EDB原PDF並視覺核對；表格加總／口徑檢查通過</t>
        </is>
      </c>
    </row>
    <row r="67" ht="30" customHeight="1">
      <c r="A67" s="78" t="inlineStr">
        <is>
          <t>EDB_S6_2025_T21_FULL_TIME_STUDY_AIDED_CAPUT_SHARE</t>
        </is>
      </c>
      <c r="B67" s="78" t="inlineStr">
        <is>
          <t>表2.1｜資助／按位津貼｜全日制求學比例</t>
        </is>
      </c>
      <c r="C67" s="78" t="inlineStr">
        <is>
          <t>2025</t>
        </is>
      </c>
      <c r="D67" s="78" t="inlineStr">
        <is>
          <t>中學後／中六畢業出口</t>
        </is>
      </c>
      <c r="E67" s="78" t="inlineStr">
        <is>
          <t>資助／按位津貼的有回應中六畢業生</t>
        </is>
      </c>
      <c r="F67" s="78" t="inlineStr">
        <is>
          <t>32337</t>
        </is>
      </c>
      <c r="G67" s="78" t="inlineStr">
        <is>
          <t>34359</t>
        </is>
      </c>
      <c r="H67" s="78" t="inlineStr">
        <is>
          <t>94.1</t>
        </is>
      </c>
      <c r="I67" s="78" t="inlineStr">
        <is>
          <t>%</t>
        </is>
      </c>
      <c r="J67" s="78" t="inlineStr">
        <is>
          <t>官方公布比例</t>
        </is>
      </c>
      <c r="K67" s="78" t="inlineStr">
        <is>
          <t>EDB-S6-2025</t>
        </is>
      </c>
      <c r="L67" s="78" t="inlineStr">
        <is>
          <t>PDF p.11（印刷頁6），Table 2.1</t>
        </is>
      </c>
      <c r="M67" s="78" t="inlineStr">
        <is>
          <t>原表比例；一位小數，類別比例總和可能因四捨五入為99.9%。</t>
        </is>
      </c>
      <c r="N67" s="78" t="inlineStr">
        <is>
          <t>已逐表轉錄EDB原PDF並視覺核對；表格加總／口徑檢查通過</t>
        </is>
      </c>
    </row>
    <row r="68" ht="30" customHeight="1">
      <c r="A68" s="77" t="inlineStr">
        <is>
          <t>EDB_S6_2025_T21_FULL_TIME_EMPLOYMENT_AIDED_CAPUT_COUNT</t>
        </is>
      </c>
      <c r="B68" s="77" t="inlineStr">
        <is>
          <t>表2.1｜資助／按位津貼｜全職工作人數</t>
        </is>
      </c>
      <c r="C68" s="77" t="inlineStr">
        <is>
          <t>2025</t>
        </is>
      </c>
      <c r="D68" s="77" t="inlineStr">
        <is>
          <t>中學後／中六畢業出口</t>
        </is>
      </c>
      <c r="E68" s="77" t="inlineStr">
        <is>
          <t>資助／按位津貼的有回應中六畢業生</t>
        </is>
      </c>
      <c r="F68" s="77" t="inlineStr">
        <is>
          <t>722</t>
        </is>
      </c>
      <c r="G68" s="77" t="inlineStr">
        <is>
          <t>34359</t>
        </is>
      </c>
      <c r="H68" s="77" t="inlineStr">
        <is>
          <t>722</t>
        </is>
      </c>
      <c r="I68" s="77" t="inlineStr">
        <is>
          <t>人</t>
        </is>
      </c>
      <c r="J68" s="77" t="inlineStr">
        <is>
          <t>官方照錄</t>
        </is>
      </c>
      <c r="K68" s="77" t="inlineStr">
        <is>
          <t>EDB-S6-2025</t>
        </is>
      </c>
      <c r="L68" s="77" t="inlineStr">
        <is>
          <t>PDF p.11（印刷頁6），Table 2.1</t>
        </is>
      </c>
      <c r="M68" s="77" t="inlineStr">
        <is>
          <t>2025年10月狀態；學校類別的分母是該類別全部有回應畢業生。</t>
        </is>
      </c>
      <c r="N68" s="77" t="inlineStr">
        <is>
          <t>已逐表轉錄EDB原PDF並視覺核對；表格加總／口徑檢查通過</t>
        </is>
      </c>
    </row>
    <row r="69" ht="30" customHeight="1">
      <c r="A69" s="78" t="inlineStr">
        <is>
          <t>EDB_S6_2025_T21_FULL_TIME_EMPLOYMENT_AIDED_CAPUT_SHARE</t>
        </is>
      </c>
      <c r="B69" s="78" t="inlineStr">
        <is>
          <t>表2.1｜資助／按位津貼｜全職工作比例</t>
        </is>
      </c>
      <c r="C69" s="78" t="inlineStr">
        <is>
          <t>2025</t>
        </is>
      </c>
      <c r="D69" s="78" t="inlineStr">
        <is>
          <t>中學後／中六畢業出口</t>
        </is>
      </c>
      <c r="E69" s="78" t="inlineStr">
        <is>
          <t>資助／按位津貼的有回應中六畢業生</t>
        </is>
      </c>
      <c r="F69" s="78" t="inlineStr">
        <is>
          <t>722</t>
        </is>
      </c>
      <c r="G69" s="78" t="inlineStr">
        <is>
          <t>34359</t>
        </is>
      </c>
      <c r="H69" s="78" t="inlineStr">
        <is>
          <t>2.1</t>
        </is>
      </c>
      <c r="I69" s="78" t="inlineStr">
        <is>
          <t>%</t>
        </is>
      </c>
      <c r="J69" s="78" t="inlineStr">
        <is>
          <t>官方公布比例</t>
        </is>
      </c>
      <c r="K69" s="78" t="inlineStr">
        <is>
          <t>EDB-S6-2025</t>
        </is>
      </c>
      <c r="L69" s="78" t="inlineStr">
        <is>
          <t>PDF p.11（印刷頁6），Table 2.1</t>
        </is>
      </c>
      <c r="M69" s="78" t="inlineStr">
        <is>
          <t>原表比例；一位小數，類別比例總和可能因四捨五入為99.9%。</t>
        </is>
      </c>
      <c r="N69" s="78" t="inlineStr">
        <is>
          <t>已逐表轉錄EDB原PDF並視覺核對；表格加總／口徑檢查通過</t>
        </is>
      </c>
    </row>
    <row r="70" ht="30" customHeight="1">
      <c r="A70" s="77" t="inlineStr">
        <is>
          <t>EDB_S6_2025_T21_PART_TIME_EMPLOYMENT_STUDY_AIDED_CAPUT_COUNT</t>
        </is>
      </c>
      <c r="B70" s="77" t="inlineStr">
        <is>
          <t>表2.1｜資助／按位津貼｜部分時間工作／求學人數</t>
        </is>
      </c>
      <c r="C70" s="77" t="inlineStr">
        <is>
          <t>2025</t>
        </is>
      </c>
      <c r="D70" s="77" t="inlineStr">
        <is>
          <t>中學後／中六畢業出口</t>
        </is>
      </c>
      <c r="E70" s="77" t="inlineStr">
        <is>
          <t>資助／按位津貼的有回應中六畢業生</t>
        </is>
      </c>
      <c r="F70" s="77" t="inlineStr">
        <is>
          <t>894</t>
        </is>
      </c>
      <c r="G70" s="77" t="inlineStr">
        <is>
          <t>34359</t>
        </is>
      </c>
      <c r="H70" s="77" t="inlineStr">
        <is>
          <t>894</t>
        </is>
      </c>
      <c r="I70" s="77" t="inlineStr">
        <is>
          <t>人</t>
        </is>
      </c>
      <c r="J70" s="77" t="inlineStr">
        <is>
          <t>官方照錄</t>
        </is>
      </c>
      <c r="K70" s="77" t="inlineStr">
        <is>
          <t>EDB-S6-2025</t>
        </is>
      </c>
      <c r="L70" s="77" t="inlineStr">
        <is>
          <t>PDF p.11（印刷頁6），Table 2.1</t>
        </is>
      </c>
      <c r="M70" s="77" t="inlineStr">
        <is>
          <t>2025年10月狀態；學校類別的分母是該類別全部有回應畢業生。</t>
        </is>
      </c>
      <c r="N70" s="77" t="inlineStr">
        <is>
          <t>已逐表轉錄EDB原PDF並視覺核對；表格加總／口徑檢查通過</t>
        </is>
      </c>
    </row>
    <row r="71" ht="30" customHeight="1">
      <c r="A71" s="78" t="inlineStr">
        <is>
          <t>EDB_S6_2025_T21_PART_TIME_EMPLOYMENT_STUDY_AIDED_CAPUT_SHARE</t>
        </is>
      </c>
      <c r="B71" s="78" t="inlineStr">
        <is>
          <t>表2.1｜資助／按位津貼｜部分時間工作／求學比例</t>
        </is>
      </c>
      <c r="C71" s="78" t="inlineStr">
        <is>
          <t>2025</t>
        </is>
      </c>
      <c r="D71" s="78" t="inlineStr">
        <is>
          <t>中學後／中六畢業出口</t>
        </is>
      </c>
      <c r="E71" s="78" t="inlineStr">
        <is>
          <t>資助／按位津貼的有回應中六畢業生</t>
        </is>
      </c>
      <c r="F71" s="78" t="inlineStr">
        <is>
          <t>894</t>
        </is>
      </c>
      <c r="G71" s="78" t="inlineStr">
        <is>
          <t>34359</t>
        </is>
      </c>
      <c r="H71" s="78" t="inlineStr">
        <is>
          <t>2.6</t>
        </is>
      </c>
      <c r="I71" s="78" t="inlineStr">
        <is>
          <t>%</t>
        </is>
      </c>
      <c r="J71" s="78" t="inlineStr">
        <is>
          <t>官方公布比例</t>
        </is>
      </c>
      <c r="K71" s="78" t="inlineStr">
        <is>
          <t>EDB-S6-2025</t>
        </is>
      </c>
      <c r="L71" s="78" t="inlineStr">
        <is>
          <t>PDF p.11（印刷頁6），Table 2.1</t>
        </is>
      </c>
      <c r="M71" s="78" t="inlineStr">
        <is>
          <t>原表比例；一位小數，類別比例總和可能因四捨五入為99.9%。</t>
        </is>
      </c>
      <c r="N71" s="78" t="inlineStr">
        <is>
          <t>已逐表轉錄EDB原PDF並視覺核對；表格加總／口徑檢查通過</t>
        </is>
      </c>
    </row>
    <row r="72" ht="30" customHeight="1">
      <c r="A72" s="77" t="inlineStr">
        <is>
          <t>EDB_S6_2025_T21_NEITHER_EMPLOYMENT_NOR_STUDY_AIDED_CAPUT_COUNT</t>
        </is>
      </c>
      <c r="B72" s="77" t="inlineStr">
        <is>
          <t>表2.1｜資助／按位津貼｜既非工作亦非求學人數</t>
        </is>
      </c>
      <c r="C72" s="77" t="inlineStr">
        <is>
          <t>2025</t>
        </is>
      </c>
      <c r="D72" s="77" t="inlineStr">
        <is>
          <t>中學後／中六畢業出口</t>
        </is>
      </c>
      <c r="E72" s="77" t="inlineStr">
        <is>
          <t>資助／按位津貼的有回應中六畢業生</t>
        </is>
      </c>
      <c r="F72" s="77" t="inlineStr">
        <is>
          <t>406</t>
        </is>
      </c>
      <c r="G72" s="77" t="inlineStr">
        <is>
          <t>34359</t>
        </is>
      </c>
      <c r="H72" s="77" t="inlineStr">
        <is>
          <t>406</t>
        </is>
      </c>
      <c r="I72" s="77" t="inlineStr">
        <is>
          <t>人</t>
        </is>
      </c>
      <c r="J72" s="77" t="inlineStr">
        <is>
          <t>官方照錄</t>
        </is>
      </c>
      <c r="K72" s="77" t="inlineStr">
        <is>
          <t>EDB-S6-2025</t>
        </is>
      </c>
      <c r="L72" s="77" t="inlineStr">
        <is>
          <t>PDF p.11（印刷頁6），Table 2.1</t>
        </is>
      </c>
      <c r="M72" s="77" t="inlineStr">
        <is>
          <t>2025年10月狀態；學校類別的分母是該類別全部有回應畢業生。</t>
        </is>
      </c>
      <c r="N72" s="77" t="inlineStr">
        <is>
          <t>已逐表轉錄EDB原PDF並視覺核對；表格加總／口徑檢查通過</t>
        </is>
      </c>
    </row>
    <row r="73" ht="30" customHeight="1">
      <c r="A73" s="78" t="inlineStr">
        <is>
          <t>EDB_S6_2025_T21_NEITHER_EMPLOYMENT_NOR_STUDY_AIDED_CAPUT_SHARE</t>
        </is>
      </c>
      <c r="B73" s="78" t="inlineStr">
        <is>
          <t>表2.1｜資助／按位津貼｜既非工作亦非求學比例</t>
        </is>
      </c>
      <c r="C73" s="78" t="inlineStr">
        <is>
          <t>2025</t>
        </is>
      </c>
      <c r="D73" s="78" t="inlineStr">
        <is>
          <t>中學後／中六畢業出口</t>
        </is>
      </c>
      <c r="E73" s="78" t="inlineStr">
        <is>
          <t>資助／按位津貼的有回應中六畢業生</t>
        </is>
      </c>
      <c r="F73" s="78" t="inlineStr">
        <is>
          <t>406</t>
        </is>
      </c>
      <c r="G73" s="78" t="inlineStr">
        <is>
          <t>34359</t>
        </is>
      </c>
      <c r="H73" s="78" t="inlineStr">
        <is>
          <t>1.2</t>
        </is>
      </c>
      <c r="I73" s="78" t="inlineStr">
        <is>
          <t>%</t>
        </is>
      </c>
      <c r="J73" s="78" t="inlineStr">
        <is>
          <t>官方公布比例</t>
        </is>
      </c>
      <c r="K73" s="78" t="inlineStr">
        <is>
          <t>EDB-S6-2025</t>
        </is>
      </c>
      <c r="L73" s="78" t="inlineStr">
        <is>
          <t>PDF p.11（印刷頁6），Table 2.1</t>
        </is>
      </c>
      <c r="M73" s="78" t="inlineStr">
        <is>
          <t>原表比例；一位小數，類別比例總和可能因四捨五入為99.9%。</t>
        </is>
      </c>
      <c r="N73" s="78" t="inlineStr">
        <is>
          <t>已逐表轉錄EDB原PDF並視覺核對；表格加總／口徑檢查通過</t>
        </is>
      </c>
    </row>
    <row r="74" ht="30" customHeight="1">
      <c r="A74" s="77" t="inlineStr">
        <is>
          <t>EDB_S6_2025_T21_FULL_TIME_STUDY_DSS_LOCAL_PRIVATE_COUNT</t>
        </is>
      </c>
      <c r="B74" s="77" t="inlineStr">
        <is>
          <t>表2.1｜直資／本地私立｜全日制求學人數</t>
        </is>
      </c>
      <c r="C74" s="77" t="inlineStr">
        <is>
          <t>2025</t>
        </is>
      </c>
      <c r="D74" s="77" t="inlineStr">
        <is>
          <t>中學後／中六畢業出口</t>
        </is>
      </c>
      <c r="E74" s="77" t="inlineStr">
        <is>
          <t>直資／本地私立的有回應中六畢業生</t>
        </is>
      </c>
      <c r="F74" s="77" t="inlineStr">
        <is>
          <t>5806</t>
        </is>
      </c>
      <c r="G74" s="77" t="inlineStr">
        <is>
          <t>6220</t>
        </is>
      </c>
      <c r="H74" s="77" t="inlineStr">
        <is>
          <t>5806</t>
        </is>
      </c>
      <c r="I74" s="77" t="inlineStr">
        <is>
          <t>人</t>
        </is>
      </c>
      <c r="J74" s="77" t="inlineStr">
        <is>
          <t>官方照錄</t>
        </is>
      </c>
      <c r="K74" s="77" t="inlineStr">
        <is>
          <t>EDB-S6-2025</t>
        </is>
      </c>
      <c r="L74" s="77" t="inlineStr">
        <is>
          <t>PDF p.11（印刷頁6），Table 2.1</t>
        </is>
      </c>
      <c r="M74" s="77" t="inlineStr">
        <is>
          <t>2025年10月狀態；學校類別的分母是該類別全部有回應畢業生。</t>
        </is>
      </c>
      <c r="N74" s="77" t="inlineStr">
        <is>
          <t>已逐表轉錄EDB原PDF並視覺核對；表格加總／口徑檢查通過</t>
        </is>
      </c>
    </row>
    <row r="75" ht="30" customHeight="1">
      <c r="A75" s="78" t="inlineStr">
        <is>
          <t>EDB_S6_2025_T21_FULL_TIME_STUDY_DSS_LOCAL_PRIVATE_SHARE</t>
        </is>
      </c>
      <c r="B75" s="78" t="inlineStr">
        <is>
          <t>表2.1｜直資／本地私立｜全日制求學比例</t>
        </is>
      </c>
      <c r="C75" s="78" t="inlineStr">
        <is>
          <t>2025</t>
        </is>
      </c>
      <c r="D75" s="78" t="inlineStr">
        <is>
          <t>中學後／中六畢業出口</t>
        </is>
      </c>
      <c r="E75" s="78" t="inlineStr">
        <is>
          <t>直資／本地私立的有回應中六畢業生</t>
        </is>
      </c>
      <c r="F75" s="78" t="inlineStr">
        <is>
          <t>5806</t>
        </is>
      </c>
      <c r="G75" s="78" t="inlineStr">
        <is>
          <t>6220</t>
        </is>
      </c>
      <c r="H75" s="78" t="inlineStr">
        <is>
          <t>93.3</t>
        </is>
      </c>
      <c r="I75" s="78" t="inlineStr">
        <is>
          <t>%</t>
        </is>
      </c>
      <c r="J75" s="78" t="inlineStr">
        <is>
          <t>官方公布比例</t>
        </is>
      </c>
      <c r="K75" s="78" t="inlineStr">
        <is>
          <t>EDB-S6-2025</t>
        </is>
      </c>
      <c r="L75" s="78" t="inlineStr">
        <is>
          <t>PDF p.11（印刷頁6），Table 2.1</t>
        </is>
      </c>
      <c r="M75" s="78" t="inlineStr">
        <is>
          <t>原表比例；一位小數，類別比例總和可能因四捨五入為99.9%。</t>
        </is>
      </c>
      <c r="N75" s="78" t="inlineStr">
        <is>
          <t>已逐表轉錄EDB原PDF並視覺核對；表格加總／口徑檢查通過</t>
        </is>
      </c>
    </row>
    <row r="76" ht="30" customHeight="1">
      <c r="A76" s="77" t="inlineStr">
        <is>
          <t>EDB_S6_2025_T21_FULL_TIME_EMPLOYMENT_DSS_LOCAL_PRIVATE_COUNT</t>
        </is>
      </c>
      <c r="B76" s="77" t="inlineStr">
        <is>
          <t>表2.1｜直資／本地私立｜全職工作人數</t>
        </is>
      </c>
      <c r="C76" s="77" t="inlineStr">
        <is>
          <t>2025</t>
        </is>
      </c>
      <c r="D76" s="77" t="inlineStr">
        <is>
          <t>中學後／中六畢業出口</t>
        </is>
      </c>
      <c r="E76" s="77" t="inlineStr">
        <is>
          <t>直資／本地私立的有回應中六畢業生</t>
        </is>
      </c>
      <c r="F76" s="77" t="inlineStr">
        <is>
          <t>167</t>
        </is>
      </c>
      <c r="G76" s="77" t="inlineStr">
        <is>
          <t>6220</t>
        </is>
      </c>
      <c r="H76" s="77" t="inlineStr">
        <is>
          <t>167</t>
        </is>
      </c>
      <c r="I76" s="77" t="inlineStr">
        <is>
          <t>人</t>
        </is>
      </c>
      <c r="J76" s="77" t="inlineStr">
        <is>
          <t>官方照錄</t>
        </is>
      </c>
      <c r="K76" s="77" t="inlineStr">
        <is>
          <t>EDB-S6-2025</t>
        </is>
      </c>
      <c r="L76" s="77" t="inlineStr">
        <is>
          <t>PDF p.11（印刷頁6），Table 2.1</t>
        </is>
      </c>
      <c r="M76" s="77" t="inlineStr">
        <is>
          <t>2025年10月狀態；學校類別的分母是該類別全部有回應畢業生。</t>
        </is>
      </c>
      <c r="N76" s="77" t="inlineStr">
        <is>
          <t>已逐表轉錄EDB原PDF並視覺核對；表格加總／口徑檢查通過</t>
        </is>
      </c>
    </row>
    <row r="77" ht="30" customHeight="1">
      <c r="A77" s="78" t="inlineStr">
        <is>
          <t>EDB_S6_2025_T21_FULL_TIME_EMPLOYMENT_DSS_LOCAL_PRIVATE_SHARE</t>
        </is>
      </c>
      <c r="B77" s="78" t="inlineStr">
        <is>
          <t>表2.1｜直資／本地私立｜全職工作比例</t>
        </is>
      </c>
      <c r="C77" s="78" t="inlineStr">
        <is>
          <t>2025</t>
        </is>
      </c>
      <c r="D77" s="78" t="inlineStr">
        <is>
          <t>中學後／中六畢業出口</t>
        </is>
      </c>
      <c r="E77" s="78" t="inlineStr">
        <is>
          <t>直資／本地私立的有回應中六畢業生</t>
        </is>
      </c>
      <c r="F77" s="78" t="inlineStr">
        <is>
          <t>167</t>
        </is>
      </c>
      <c r="G77" s="78" t="inlineStr">
        <is>
          <t>6220</t>
        </is>
      </c>
      <c r="H77" s="78" t="inlineStr">
        <is>
          <t>2.7</t>
        </is>
      </c>
      <c r="I77" s="78" t="inlineStr">
        <is>
          <t>%</t>
        </is>
      </c>
      <c r="J77" s="78" t="inlineStr">
        <is>
          <t>官方公布比例</t>
        </is>
      </c>
      <c r="K77" s="78" t="inlineStr">
        <is>
          <t>EDB-S6-2025</t>
        </is>
      </c>
      <c r="L77" s="78" t="inlineStr">
        <is>
          <t>PDF p.11（印刷頁6），Table 2.1</t>
        </is>
      </c>
      <c r="M77" s="78" t="inlineStr">
        <is>
          <t>原表比例；一位小數，類別比例總和可能因四捨五入為99.9%。</t>
        </is>
      </c>
      <c r="N77" s="78" t="inlineStr">
        <is>
          <t>已逐表轉錄EDB原PDF並視覺核對；表格加總／口徑檢查通過</t>
        </is>
      </c>
    </row>
    <row r="78" ht="30" customHeight="1">
      <c r="A78" s="77" t="inlineStr">
        <is>
          <t>EDB_S6_2025_T21_PART_TIME_EMPLOYMENT_STUDY_DSS_LOCAL_PRIVATE_COUNT</t>
        </is>
      </c>
      <c r="B78" s="77" t="inlineStr">
        <is>
          <t>表2.1｜直資／本地私立｜部分時間工作／求學人數</t>
        </is>
      </c>
      <c r="C78" s="77" t="inlineStr">
        <is>
          <t>2025</t>
        </is>
      </c>
      <c r="D78" s="77" t="inlineStr">
        <is>
          <t>中學後／中六畢業出口</t>
        </is>
      </c>
      <c r="E78" s="77" t="inlineStr">
        <is>
          <t>直資／本地私立的有回應中六畢業生</t>
        </is>
      </c>
      <c r="F78" s="77" t="inlineStr">
        <is>
          <t>151</t>
        </is>
      </c>
      <c r="G78" s="77" t="inlineStr">
        <is>
          <t>6220</t>
        </is>
      </c>
      <c r="H78" s="77" t="inlineStr">
        <is>
          <t>151</t>
        </is>
      </c>
      <c r="I78" s="77" t="inlineStr">
        <is>
          <t>人</t>
        </is>
      </c>
      <c r="J78" s="77" t="inlineStr">
        <is>
          <t>官方照錄</t>
        </is>
      </c>
      <c r="K78" s="77" t="inlineStr">
        <is>
          <t>EDB-S6-2025</t>
        </is>
      </c>
      <c r="L78" s="77" t="inlineStr">
        <is>
          <t>PDF p.11（印刷頁6），Table 2.1</t>
        </is>
      </c>
      <c r="M78" s="77" t="inlineStr">
        <is>
          <t>2025年10月狀態；學校類別的分母是該類別全部有回應畢業生。</t>
        </is>
      </c>
      <c r="N78" s="77" t="inlineStr">
        <is>
          <t>已逐表轉錄EDB原PDF並視覺核對；表格加總／口徑檢查通過</t>
        </is>
      </c>
    </row>
    <row r="79" ht="30" customHeight="1">
      <c r="A79" s="78" t="inlineStr">
        <is>
          <t>EDB_S6_2025_T21_PART_TIME_EMPLOYMENT_STUDY_DSS_LOCAL_PRIVATE_SHARE</t>
        </is>
      </c>
      <c r="B79" s="78" t="inlineStr">
        <is>
          <t>表2.1｜直資／本地私立｜部分時間工作／求學比例</t>
        </is>
      </c>
      <c r="C79" s="78" t="inlineStr">
        <is>
          <t>2025</t>
        </is>
      </c>
      <c r="D79" s="78" t="inlineStr">
        <is>
          <t>中學後／中六畢業出口</t>
        </is>
      </c>
      <c r="E79" s="78" t="inlineStr">
        <is>
          <t>直資／本地私立的有回應中六畢業生</t>
        </is>
      </c>
      <c r="F79" s="78" t="inlineStr">
        <is>
          <t>151</t>
        </is>
      </c>
      <c r="G79" s="78" t="inlineStr">
        <is>
          <t>6220</t>
        </is>
      </c>
      <c r="H79" s="78" t="inlineStr">
        <is>
          <t>2.4</t>
        </is>
      </c>
      <c r="I79" s="78" t="inlineStr">
        <is>
          <t>%</t>
        </is>
      </c>
      <c r="J79" s="78" t="inlineStr">
        <is>
          <t>官方公布比例</t>
        </is>
      </c>
      <c r="K79" s="78" t="inlineStr">
        <is>
          <t>EDB-S6-2025</t>
        </is>
      </c>
      <c r="L79" s="78" t="inlineStr">
        <is>
          <t>PDF p.11（印刷頁6），Table 2.1</t>
        </is>
      </c>
      <c r="M79" s="78" t="inlineStr">
        <is>
          <t>原表比例；一位小數，類別比例總和可能因四捨五入為99.9%。</t>
        </is>
      </c>
      <c r="N79" s="78" t="inlineStr">
        <is>
          <t>已逐表轉錄EDB原PDF並視覺核對；表格加總／口徑檢查通過</t>
        </is>
      </c>
    </row>
    <row r="80" ht="30" customHeight="1">
      <c r="A80" s="77" t="inlineStr">
        <is>
          <t>EDB_S6_2025_T21_NEITHER_EMPLOYMENT_NOR_STUDY_DSS_LOCAL_PRIVATE_COUNT</t>
        </is>
      </c>
      <c r="B80" s="77" t="inlineStr">
        <is>
          <t>表2.1｜直資／本地私立｜既非工作亦非求學人數</t>
        </is>
      </c>
      <c r="C80" s="77" t="inlineStr">
        <is>
          <t>2025</t>
        </is>
      </c>
      <c r="D80" s="77" t="inlineStr">
        <is>
          <t>中學後／中六畢業出口</t>
        </is>
      </c>
      <c r="E80" s="77" t="inlineStr">
        <is>
          <t>直資／本地私立的有回應中六畢業生</t>
        </is>
      </c>
      <c r="F80" s="77" t="inlineStr">
        <is>
          <t>96</t>
        </is>
      </c>
      <c r="G80" s="77" t="inlineStr">
        <is>
          <t>6220</t>
        </is>
      </c>
      <c r="H80" s="77" t="inlineStr">
        <is>
          <t>96</t>
        </is>
      </c>
      <c r="I80" s="77" t="inlineStr">
        <is>
          <t>人</t>
        </is>
      </c>
      <c r="J80" s="77" t="inlineStr">
        <is>
          <t>官方照錄</t>
        </is>
      </c>
      <c r="K80" s="77" t="inlineStr">
        <is>
          <t>EDB-S6-2025</t>
        </is>
      </c>
      <c r="L80" s="77" t="inlineStr">
        <is>
          <t>PDF p.11（印刷頁6），Table 2.1</t>
        </is>
      </c>
      <c r="M80" s="77" t="inlineStr">
        <is>
          <t>2025年10月狀態；學校類別的分母是該類別全部有回應畢業生。</t>
        </is>
      </c>
      <c r="N80" s="77" t="inlineStr">
        <is>
          <t>已逐表轉錄EDB原PDF並視覺核對；表格加總／口徑檢查通過</t>
        </is>
      </c>
    </row>
    <row r="81" ht="30" customHeight="1">
      <c r="A81" s="78" t="inlineStr">
        <is>
          <t>EDB_S6_2025_T21_NEITHER_EMPLOYMENT_NOR_STUDY_DSS_LOCAL_PRIVATE_SHARE</t>
        </is>
      </c>
      <c r="B81" s="78" t="inlineStr">
        <is>
          <t>表2.1｜直資／本地私立｜既非工作亦非求學比例</t>
        </is>
      </c>
      <c r="C81" s="78" t="inlineStr">
        <is>
          <t>2025</t>
        </is>
      </c>
      <c r="D81" s="78" t="inlineStr">
        <is>
          <t>中學後／中六畢業出口</t>
        </is>
      </c>
      <c r="E81" s="78" t="inlineStr">
        <is>
          <t>直資／本地私立的有回應中六畢業生</t>
        </is>
      </c>
      <c r="F81" s="78" t="inlineStr">
        <is>
          <t>96</t>
        </is>
      </c>
      <c r="G81" s="78" t="inlineStr">
        <is>
          <t>6220</t>
        </is>
      </c>
      <c r="H81" s="78" t="inlineStr">
        <is>
          <t>1.5</t>
        </is>
      </c>
      <c r="I81" s="78" t="inlineStr">
        <is>
          <t>%</t>
        </is>
      </c>
      <c r="J81" s="78" t="inlineStr">
        <is>
          <t>官方公布比例</t>
        </is>
      </c>
      <c r="K81" s="78" t="inlineStr">
        <is>
          <t>EDB-S6-2025</t>
        </is>
      </c>
      <c r="L81" s="78" t="inlineStr">
        <is>
          <t>PDF p.11（印刷頁6），Table 2.1</t>
        </is>
      </c>
      <c r="M81" s="78" t="inlineStr">
        <is>
          <t>原表比例；一位小數，類別比例總和可能因四捨五入為99.9%。</t>
        </is>
      </c>
      <c r="N81" s="78" t="inlineStr">
        <is>
          <t>已逐表轉錄EDB原PDF並視覺核對；表格加總／口徑檢查通過</t>
        </is>
      </c>
    </row>
    <row r="82" ht="30" customHeight="1">
      <c r="A82" s="77" t="inlineStr">
        <is>
          <t>EDB_S6_2025_T22_BACHELOR_COUNT</t>
        </is>
      </c>
      <c r="B82" s="77" t="inlineStr">
        <is>
          <t>表2.2｜學士學位課程人數</t>
        </is>
      </c>
      <c r="C82" s="77" t="inlineStr">
        <is>
          <t>2025</t>
        </is>
      </c>
      <c r="D82" s="77" t="inlineStr">
        <is>
          <t>中學後／中六畢業出口</t>
        </is>
      </c>
      <c r="E82" s="77" t="inlineStr">
        <is>
          <t>2025中六畢業後繼續全日制求學者</t>
        </is>
      </c>
      <c r="F82" s="77" t="inlineStr">
        <is>
          <t>18934</t>
        </is>
      </c>
      <c r="G82" s="77" t="inlineStr">
        <is>
          <t>40948</t>
        </is>
      </c>
      <c r="H82" s="77" t="inlineStr">
        <is>
          <t>18934</t>
        </is>
      </c>
      <c r="I82" s="77" t="inlineStr">
        <is>
          <t>人</t>
        </is>
      </c>
      <c r="J82" s="77" t="inlineStr">
        <is>
          <t>官方照錄</t>
        </is>
      </c>
      <c r="K82" s="77" t="inlineStr">
        <is>
          <t>EDB-S6-2025</t>
        </is>
      </c>
      <c r="L82" s="77" t="inlineStr">
        <is>
          <t>PDF p.14（印刷頁9），Table 2.2</t>
        </is>
      </c>
      <c r="M82" s="77" t="inlineStr">
        <is>
          <t>分母為40,948名全日制求學者；課程定義按原表註釋，並不等同公帑資助名額。</t>
        </is>
      </c>
      <c r="N82" s="77" t="inlineStr">
        <is>
          <t>已逐表轉錄EDB原PDF並視覺核對；表格加總／口徑檢查通過</t>
        </is>
      </c>
    </row>
    <row r="83" ht="30" customHeight="1">
      <c r="A83" s="78" t="inlineStr">
        <is>
          <t>EDB_S6_2025_T22_BACHELOR_SHARE</t>
        </is>
      </c>
      <c r="B83" s="78" t="inlineStr">
        <is>
          <t>表2.2｜學士學位課程比例</t>
        </is>
      </c>
      <c r="C83" s="78" t="inlineStr">
        <is>
          <t>2025</t>
        </is>
      </c>
      <c r="D83" s="78" t="inlineStr">
        <is>
          <t>中學後／中六畢業出口</t>
        </is>
      </c>
      <c r="E83" s="78" t="inlineStr">
        <is>
          <t>2025中六畢業後繼續全日制求學者</t>
        </is>
      </c>
      <c r="F83" s="78" t="inlineStr">
        <is>
          <t>18934</t>
        </is>
      </c>
      <c r="G83" s="78" t="inlineStr">
        <is>
          <t>40948</t>
        </is>
      </c>
      <c r="H83" s="78" t="inlineStr">
        <is>
          <t>46.2</t>
        </is>
      </c>
      <c r="I83" s="78" t="inlineStr">
        <is>
          <t>%</t>
        </is>
      </c>
      <c r="J83" s="78" t="inlineStr">
        <is>
          <t>官方公布比例</t>
        </is>
      </c>
      <c r="K83" s="78" t="inlineStr">
        <is>
          <t>EDB-S6-2025</t>
        </is>
      </c>
      <c r="L83" s="78" t="inlineStr">
        <is>
          <t>PDF p.14（印刷頁9），Table 2.2</t>
        </is>
      </c>
      <c r="M83" s="78" t="inlineStr">
        <is>
          <t>原表比例；各類別比例相加可能因四捨五入不等於100.0%。</t>
        </is>
      </c>
      <c r="N83" s="78" t="inlineStr">
        <is>
          <t>已逐表轉錄EDB原PDF並視覺核對；表格加總／口徑檢查通過</t>
        </is>
      </c>
    </row>
    <row r="84" ht="30" customHeight="1">
      <c r="A84" s="77" t="inlineStr">
        <is>
          <t>EDB_S6_2025_T22_POSTSECONDARY_COUNT</t>
        </is>
      </c>
      <c r="B84" s="77" t="inlineStr">
        <is>
          <t>表2.2｜專上課程（副學士／高級文憑）人數</t>
        </is>
      </c>
      <c r="C84" s="77" t="inlineStr">
        <is>
          <t>2025</t>
        </is>
      </c>
      <c r="D84" s="77" t="inlineStr">
        <is>
          <t>中學後／中六畢業出口</t>
        </is>
      </c>
      <c r="E84" s="77" t="inlineStr">
        <is>
          <t>2025中六畢業後繼續全日制求學者</t>
        </is>
      </c>
      <c r="F84" s="77" t="inlineStr">
        <is>
          <t>13800</t>
        </is>
      </c>
      <c r="G84" s="77" t="inlineStr">
        <is>
          <t>40948</t>
        </is>
      </c>
      <c r="H84" s="77" t="inlineStr">
        <is>
          <t>13800</t>
        </is>
      </c>
      <c r="I84" s="77" t="inlineStr">
        <is>
          <t>人</t>
        </is>
      </c>
      <c r="J84" s="77" t="inlineStr">
        <is>
          <t>官方照錄</t>
        </is>
      </c>
      <c r="K84" s="77" t="inlineStr">
        <is>
          <t>EDB-S6-2025</t>
        </is>
      </c>
      <c r="L84" s="77" t="inlineStr">
        <is>
          <t>PDF p.14（印刷頁9），Table 2.2</t>
        </is>
      </c>
      <c r="M84" s="77" t="inlineStr">
        <is>
          <t>分母為40,948名全日制求學者；課程定義按原表註釋，並不等同公帑資助名額。</t>
        </is>
      </c>
      <c r="N84" s="77" t="inlineStr">
        <is>
          <t>已逐表轉錄EDB原PDF並視覺核對；表格加總／口徑檢查通過</t>
        </is>
      </c>
    </row>
    <row r="85" ht="30" customHeight="1">
      <c r="A85" s="78" t="inlineStr">
        <is>
          <t>EDB_S6_2025_T22_POSTSECONDARY_SHARE</t>
        </is>
      </c>
      <c r="B85" s="78" t="inlineStr">
        <is>
          <t>表2.2｜專上課程（副學士／高級文憑）比例</t>
        </is>
      </c>
      <c r="C85" s="78" t="inlineStr">
        <is>
          <t>2025</t>
        </is>
      </c>
      <c r="D85" s="78" t="inlineStr">
        <is>
          <t>中學後／中六畢業出口</t>
        </is>
      </c>
      <c r="E85" s="78" t="inlineStr">
        <is>
          <t>2025中六畢業後繼續全日制求學者</t>
        </is>
      </c>
      <c r="F85" s="78" t="inlineStr">
        <is>
          <t>13800</t>
        </is>
      </c>
      <c r="G85" s="78" t="inlineStr">
        <is>
          <t>40948</t>
        </is>
      </c>
      <c r="H85" s="78" t="inlineStr">
        <is>
          <t>33.7</t>
        </is>
      </c>
      <c r="I85" s="78" t="inlineStr">
        <is>
          <t>%</t>
        </is>
      </c>
      <c r="J85" s="78" t="inlineStr">
        <is>
          <t>官方公布比例</t>
        </is>
      </c>
      <c r="K85" s="78" t="inlineStr">
        <is>
          <t>EDB-S6-2025</t>
        </is>
      </c>
      <c r="L85" s="78" t="inlineStr">
        <is>
          <t>PDF p.14（印刷頁9），Table 2.2</t>
        </is>
      </c>
      <c r="M85" s="78" t="inlineStr">
        <is>
          <t>原表比例；各類別比例相加可能因四捨五入不等於100.0%。</t>
        </is>
      </c>
      <c r="N85" s="78" t="inlineStr">
        <is>
          <t>已逐表轉錄EDB原PDF並視覺核對；表格加總／口徑檢查通過</t>
        </is>
      </c>
    </row>
    <row r="86" ht="30" customHeight="1">
      <c r="A86" s="77" t="inlineStr">
        <is>
          <t>EDB_S6_2025_T22_OTHER_FULL_TIME_COUNT</t>
        </is>
      </c>
      <c r="B86" s="77" t="inlineStr">
        <is>
          <t>表2.2｜其他全日制課程人數</t>
        </is>
      </c>
      <c r="C86" s="77" t="inlineStr">
        <is>
          <t>2025</t>
        </is>
      </c>
      <c r="D86" s="77" t="inlineStr">
        <is>
          <t>中學後／中六畢業出口</t>
        </is>
      </c>
      <c r="E86" s="77" t="inlineStr">
        <is>
          <t>2025中六畢業後繼續全日制求學者</t>
        </is>
      </c>
      <c r="F86" s="77" t="inlineStr">
        <is>
          <t>8124</t>
        </is>
      </c>
      <c r="G86" s="77" t="inlineStr">
        <is>
          <t>40948</t>
        </is>
      </c>
      <c r="H86" s="77" t="inlineStr">
        <is>
          <t>8124</t>
        </is>
      </c>
      <c r="I86" s="77" t="inlineStr">
        <is>
          <t>人</t>
        </is>
      </c>
      <c r="J86" s="77" t="inlineStr">
        <is>
          <t>官方照錄</t>
        </is>
      </c>
      <c r="K86" s="77" t="inlineStr">
        <is>
          <t>EDB-S6-2025</t>
        </is>
      </c>
      <c r="L86" s="77" t="inlineStr">
        <is>
          <t>PDF p.14（印刷頁9），Table 2.2</t>
        </is>
      </c>
      <c r="M86" s="77" t="inlineStr">
        <is>
          <t>分母為40,948名全日制求學者；課程定義按原表註釋，並不等同公帑資助名額。</t>
        </is>
      </c>
      <c r="N86" s="77" t="inlineStr">
        <is>
          <t>已逐表轉錄EDB原PDF並視覺核對；表格加總／口徑檢查通過</t>
        </is>
      </c>
    </row>
    <row r="87" ht="30" customHeight="1">
      <c r="A87" s="78" t="inlineStr">
        <is>
          <t>EDB_S6_2025_T22_OTHER_FULL_TIME_SHARE</t>
        </is>
      </c>
      <c r="B87" s="78" t="inlineStr">
        <is>
          <t>表2.2｜其他全日制課程比例</t>
        </is>
      </c>
      <c r="C87" s="78" t="inlineStr">
        <is>
          <t>2025</t>
        </is>
      </c>
      <c r="D87" s="78" t="inlineStr">
        <is>
          <t>中學後／中六畢業出口</t>
        </is>
      </c>
      <c r="E87" s="78" t="inlineStr">
        <is>
          <t>2025中六畢業後繼續全日制求學者</t>
        </is>
      </c>
      <c r="F87" s="78" t="inlineStr">
        <is>
          <t>8124</t>
        </is>
      </c>
      <c r="G87" s="78" t="inlineStr">
        <is>
          <t>40948</t>
        </is>
      </c>
      <c r="H87" s="78" t="inlineStr">
        <is>
          <t>19.8</t>
        </is>
      </c>
      <c r="I87" s="78" t="inlineStr">
        <is>
          <t>%</t>
        </is>
      </c>
      <c r="J87" s="78" t="inlineStr">
        <is>
          <t>官方公布比例</t>
        </is>
      </c>
      <c r="K87" s="78" t="inlineStr">
        <is>
          <t>EDB-S6-2025</t>
        </is>
      </c>
      <c r="L87" s="78" t="inlineStr">
        <is>
          <t>PDF p.14（印刷頁9），Table 2.2</t>
        </is>
      </c>
      <c r="M87" s="78" t="inlineStr">
        <is>
          <t>原表比例；各類別比例相加可能因四捨五入不等於100.0%。</t>
        </is>
      </c>
      <c r="N87" s="78" t="inlineStr">
        <is>
          <t>已逐表轉錄EDB原PDF並視覺核對；表格加總／口徑檢查通過</t>
        </is>
      </c>
    </row>
    <row r="88" ht="30" customHeight="1">
      <c r="A88" s="77" t="inlineStr">
        <is>
          <t>EDB_S6_2025_T22_SECONDARY_6_COURSE_COUNT</t>
        </is>
      </c>
      <c r="B88" s="77" t="inlineStr">
        <is>
          <t>表2.2｜中六課程人數</t>
        </is>
      </c>
      <c r="C88" s="77" t="inlineStr">
        <is>
          <t>2025</t>
        </is>
      </c>
      <c r="D88" s="77" t="inlineStr">
        <is>
          <t>中學後／中六畢業出口</t>
        </is>
      </c>
      <c r="E88" s="77" t="inlineStr">
        <is>
          <t>2025中六畢業後繼續全日制求學者</t>
        </is>
      </c>
      <c r="F88" s="77" t="inlineStr">
        <is>
          <t>90</t>
        </is>
      </c>
      <c r="G88" s="77" t="inlineStr">
        <is>
          <t>40948</t>
        </is>
      </c>
      <c r="H88" s="77" t="inlineStr">
        <is>
          <t>90</t>
        </is>
      </c>
      <c r="I88" s="77" t="inlineStr">
        <is>
          <t>人</t>
        </is>
      </c>
      <c r="J88" s="77" t="inlineStr">
        <is>
          <t>官方照錄</t>
        </is>
      </c>
      <c r="K88" s="77" t="inlineStr">
        <is>
          <t>EDB-S6-2025</t>
        </is>
      </c>
      <c r="L88" s="77" t="inlineStr">
        <is>
          <t>PDF p.14（印刷頁9），Table 2.2</t>
        </is>
      </c>
      <c r="M88" s="77" t="inlineStr">
        <is>
          <t>分母為40,948名全日制求學者；課程定義按原表註釋，並不等同公帑資助名額。</t>
        </is>
      </c>
      <c r="N88" s="77" t="inlineStr">
        <is>
          <t>已逐表轉錄EDB原PDF並視覺核對；表格加總／口徑檢查通過</t>
        </is>
      </c>
    </row>
    <row r="89" ht="30" customHeight="1">
      <c r="A89" s="78" t="inlineStr">
        <is>
          <t>EDB_S6_2025_T22_SECONDARY_6_COURSE_SHARE</t>
        </is>
      </c>
      <c r="B89" s="78" t="inlineStr">
        <is>
          <t>表2.2｜中六課程比例</t>
        </is>
      </c>
      <c r="C89" s="78" t="inlineStr">
        <is>
          <t>2025</t>
        </is>
      </c>
      <c r="D89" s="78" t="inlineStr">
        <is>
          <t>中學後／中六畢業出口</t>
        </is>
      </c>
      <c r="E89" s="78" t="inlineStr">
        <is>
          <t>2025中六畢業後繼續全日制求學者</t>
        </is>
      </c>
      <c r="F89" s="78" t="inlineStr">
        <is>
          <t>90</t>
        </is>
      </c>
      <c r="G89" s="78" t="inlineStr">
        <is>
          <t>40948</t>
        </is>
      </c>
      <c r="H89" s="78" t="inlineStr">
        <is>
          <t>0.2</t>
        </is>
      </c>
      <c r="I89" s="78" t="inlineStr">
        <is>
          <t>%</t>
        </is>
      </c>
      <c r="J89" s="78" t="inlineStr">
        <is>
          <t>官方公布比例</t>
        </is>
      </c>
      <c r="K89" s="78" t="inlineStr">
        <is>
          <t>EDB-S6-2025</t>
        </is>
      </c>
      <c r="L89" s="78" t="inlineStr">
        <is>
          <t>PDF p.14（印刷頁9），Table 2.2</t>
        </is>
      </c>
      <c r="M89" s="78" t="inlineStr">
        <is>
          <t>原表比例；各類別比例相加可能因四捨五入不等於100.0%。</t>
        </is>
      </c>
      <c r="N89" s="78" t="inlineStr">
        <is>
          <t>已逐表轉錄EDB原PDF並視覺核對；表格加總／口徑檢查通過</t>
        </is>
      </c>
    </row>
    <row r="90" ht="30" customHeight="1">
      <c r="A90" s="77" t="inlineStr">
        <is>
          <t>EDB_S6_2025_STUDY_PLACE_HK_COUNT</t>
        </is>
      </c>
      <c r="B90" s="77" t="inlineStr">
        <is>
          <t>全日制升學地點｜在香港人數</t>
        </is>
      </c>
      <c r="C90" s="77" t="inlineStr">
        <is>
          <t>2025</t>
        </is>
      </c>
      <c r="D90" s="77" t="inlineStr">
        <is>
          <t>中學後／中六畢業出口</t>
        </is>
      </c>
      <c r="E90" s="77" t="inlineStr">
        <is>
          <t>繼續全日制求學的2025中六畢業生</t>
        </is>
      </c>
      <c r="F90" s="77" t="inlineStr">
        <is>
          <t>38277</t>
        </is>
      </c>
      <c r="G90" s="77" t="inlineStr">
        <is>
          <t>40948</t>
        </is>
      </c>
      <c r="H90" s="77" t="inlineStr">
        <is>
          <t>38277</t>
        </is>
      </c>
      <c r="I90" s="77" t="inlineStr">
        <is>
          <t>人</t>
        </is>
      </c>
      <c r="J90" s="77" t="inlineStr">
        <is>
          <t>官方照錄</t>
        </is>
      </c>
      <c r="K90" s="77" t="inlineStr">
        <is>
          <t>EDB-S6-2025</t>
        </is>
      </c>
      <c r="L90" s="77" t="inlineStr">
        <is>
          <t>PDF p.16（印刷頁11），Chart 2.5</t>
        </is>
      </c>
      <c r="M90" s="77" t="inlineStr">
        <is>
          <t>2025年10月；在香港以外求學者的詳細地區見Table 2.3。</t>
        </is>
      </c>
      <c r="N90" s="77" t="inlineStr">
        <is>
          <t>已逐表轉錄EDB原PDF並視覺核對；表格加總／口徑檢查通過</t>
        </is>
      </c>
    </row>
    <row r="91" ht="30" customHeight="1">
      <c r="A91" s="78" t="inlineStr">
        <is>
          <t>EDB_S6_2025_STUDY_PLACE_HK_SHARE</t>
        </is>
      </c>
      <c r="B91" s="78" t="inlineStr">
        <is>
          <t>全日制升學地點｜在香港比例</t>
        </is>
      </c>
      <c r="C91" s="78" t="inlineStr">
        <is>
          <t>2025</t>
        </is>
      </c>
      <c r="D91" s="78" t="inlineStr">
        <is>
          <t>中學後／中六畢業出口</t>
        </is>
      </c>
      <c r="E91" s="78" t="inlineStr">
        <is>
          <t>繼續全日制求學的2025中六畢業生</t>
        </is>
      </c>
      <c r="F91" s="78" t="inlineStr">
        <is>
          <t>38277</t>
        </is>
      </c>
      <c r="G91" s="78" t="inlineStr">
        <is>
          <t>40948</t>
        </is>
      </c>
      <c r="H91" s="78" t="inlineStr">
        <is>
          <t>93.5</t>
        </is>
      </c>
      <c r="I91" s="78" t="inlineStr">
        <is>
          <t>%</t>
        </is>
      </c>
      <c r="J91" s="78" t="inlineStr">
        <is>
          <t>官方公布比例</t>
        </is>
      </c>
      <c r="K91" s="78" t="inlineStr">
        <is>
          <t>EDB-S6-2025</t>
        </is>
      </c>
      <c r="L91" s="78" t="inlineStr">
        <is>
          <t>PDF p.16（印刷頁11），Chart 2.5</t>
        </is>
      </c>
      <c r="M91" s="78" t="inlineStr">
        <is>
          <t>官方公布比例；分母為40,948名全日制求學者。</t>
        </is>
      </c>
      <c r="N91" s="78" t="inlineStr">
        <is>
          <t>已逐表轉錄EDB原PDF並視覺核對；表格加總／口徑檢查通過</t>
        </is>
      </c>
    </row>
    <row r="92" ht="30" customHeight="1">
      <c r="A92" s="77" t="inlineStr">
        <is>
          <t>EDB_S6_2025_STUDY_PLACE_OUTSIDE_HK_COUNT</t>
        </is>
      </c>
      <c r="B92" s="77" t="inlineStr">
        <is>
          <t>全日制升學地點｜在香港以外地區人數</t>
        </is>
      </c>
      <c r="C92" s="77" t="inlineStr">
        <is>
          <t>2025</t>
        </is>
      </c>
      <c r="D92" s="77" t="inlineStr">
        <is>
          <t>中學後／中六畢業出口</t>
        </is>
      </c>
      <c r="E92" s="77" t="inlineStr">
        <is>
          <t>繼續全日制求學的2025中六畢業生</t>
        </is>
      </c>
      <c r="F92" s="77" t="inlineStr">
        <is>
          <t>2671</t>
        </is>
      </c>
      <c r="G92" s="77" t="inlineStr">
        <is>
          <t>40948</t>
        </is>
      </c>
      <c r="H92" s="77" t="inlineStr">
        <is>
          <t>2671</t>
        </is>
      </c>
      <c r="I92" s="77" t="inlineStr">
        <is>
          <t>人</t>
        </is>
      </c>
      <c r="J92" s="77" t="inlineStr">
        <is>
          <t>官方照錄</t>
        </is>
      </c>
      <c r="K92" s="77" t="inlineStr">
        <is>
          <t>EDB-S6-2025</t>
        </is>
      </c>
      <c r="L92" s="77" t="inlineStr">
        <is>
          <t>PDF p.16（印刷頁11），Chart 2.5</t>
        </is>
      </c>
      <c r="M92" s="77" t="inlineStr">
        <is>
          <t>2025年10月；在香港以外求學者的詳細地區見Table 2.3。</t>
        </is>
      </c>
      <c r="N92" s="77" t="inlineStr">
        <is>
          <t>已逐表轉錄EDB原PDF並視覺核對；表格加總／口徑檢查通過</t>
        </is>
      </c>
    </row>
    <row r="93" ht="30" customHeight="1">
      <c r="A93" s="78" t="inlineStr">
        <is>
          <t>EDB_S6_2025_STUDY_PLACE_OUTSIDE_HK_SHARE</t>
        </is>
      </c>
      <c r="B93" s="78" t="inlineStr">
        <is>
          <t>全日制升學地點｜在香港以外地區比例</t>
        </is>
      </c>
      <c r="C93" s="78" t="inlineStr">
        <is>
          <t>2025</t>
        </is>
      </c>
      <c r="D93" s="78" t="inlineStr">
        <is>
          <t>中學後／中六畢業出口</t>
        </is>
      </c>
      <c r="E93" s="78" t="inlineStr">
        <is>
          <t>繼續全日制求學的2025中六畢業生</t>
        </is>
      </c>
      <c r="F93" s="78" t="inlineStr">
        <is>
          <t>2671</t>
        </is>
      </c>
      <c r="G93" s="78" t="inlineStr">
        <is>
          <t>40948</t>
        </is>
      </c>
      <c r="H93" s="78" t="inlineStr">
        <is>
          <t>6.5</t>
        </is>
      </c>
      <c r="I93" s="78" t="inlineStr">
        <is>
          <t>%</t>
        </is>
      </c>
      <c r="J93" s="78" t="inlineStr">
        <is>
          <t>官方公布比例</t>
        </is>
      </c>
      <c r="K93" s="78" t="inlineStr">
        <is>
          <t>EDB-S6-2025</t>
        </is>
      </c>
      <c r="L93" s="78" t="inlineStr">
        <is>
          <t>PDF p.16（印刷頁11），Chart 2.5</t>
        </is>
      </c>
      <c r="M93" s="78" t="inlineStr">
        <is>
          <t>官方公布比例；分母為40,948名全日制求學者。</t>
        </is>
      </c>
      <c r="N93" s="78" t="inlineStr">
        <is>
          <t>已逐表轉錄EDB原PDF並視覺核對；表格加總／口徑檢查通過</t>
        </is>
      </c>
    </row>
    <row r="94" ht="30" customHeight="1">
      <c r="A94" s="77" t="inlineStr">
        <is>
          <t>EDB_S6_2025_T23_CHINESE_MAINLAND_COUNT</t>
        </is>
      </c>
      <c r="B94" s="77" t="inlineStr">
        <is>
          <t>表2.3｜中國內地全日制升學人數</t>
        </is>
      </c>
      <c r="C94" s="77" t="inlineStr">
        <is>
          <t>2025</t>
        </is>
      </c>
      <c r="D94" s="77" t="inlineStr">
        <is>
          <t>中學後／中六畢業出口</t>
        </is>
      </c>
      <c r="E94" s="77" t="inlineStr">
        <is>
          <t>在香港以外繼續全日制求學的2025中六畢業生</t>
        </is>
      </c>
      <c r="F94" s="77" t="inlineStr">
        <is>
          <t>1259</t>
        </is>
      </c>
      <c r="G94" s="77" t="inlineStr">
        <is>
          <t>2671</t>
        </is>
      </c>
      <c r="H94" s="77" t="inlineStr">
        <is>
          <t>1259</t>
        </is>
      </c>
      <c r="I94" s="77" t="inlineStr">
        <is>
          <t>人</t>
        </is>
      </c>
      <c r="J94" s="77" t="inlineStr">
        <is>
          <t>官方照錄</t>
        </is>
      </c>
      <c r="K94" s="77" t="inlineStr">
        <is>
          <t>EDB-S6-2025</t>
        </is>
      </c>
      <c r="L94" s="77" t="inlineStr">
        <is>
          <t>PDF p.19（印刷頁14），Table 2.3</t>
        </is>
      </c>
      <c r="M94" s="77" t="inlineStr">
        <is>
          <t>地區比例以2,671名境外全日制求學者為分母；不是全體畢業生比例。課程類別交叉格詳見原表，保留**保密格。</t>
        </is>
      </c>
      <c r="N94" s="77" t="inlineStr">
        <is>
          <t>已逐表轉錄EDB原PDF並視覺核對；表格加總／口徑檢查通過</t>
        </is>
      </c>
    </row>
    <row r="95" ht="30" customHeight="1">
      <c r="A95" s="78" t="inlineStr">
        <is>
          <t>EDB_S6_2025_T23_CHINESE_MAINLAND_SHARE</t>
        </is>
      </c>
      <c r="B95" s="78" t="inlineStr">
        <is>
          <t>表2.3｜中國內地佔境外升學者比例</t>
        </is>
      </c>
      <c r="C95" s="78" t="inlineStr">
        <is>
          <t>2025</t>
        </is>
      </c>
      <c r="D95" s="78" t="inlineStr">
        <is>
          <t>中學後／中六畢業出口</t>
        </is>
      </c>
      <c r="E95" s="78" t="inlineStr">
        <is>
          <t>在香港以外繼續全日制求學的2025中六畢業生</t>
        </is>
      </c>
      <c r="F95" s="78" t="inlineStr">
        <is>
          <t>1259</t>
        </is>
      </c>
      <c r="G95" s="78" t="inlineStr">
        <is>
          <t>2671</t>
        </is>
      </c>
      <c r="H95" s="78" t="inlineStr">
        <is>
          <t>47.1</t>
        </is>
      </c>
      <c r="I95" s="78" t="inlineStr">
        <is>
          <t>%</t>
        </is>
      </c>
      <c r="J95" s="78" t="inlineStr">
        <is>
          <t>官方公布比例</t>
        </is>
      </c>
      <c r="K95" s="78" t="inlineStr">
        <is>
          <t>EDB-S6-2025</t>
        </is>
      </c>
      <c r="L95" s="78" t="inlineStr">
        <is>
          <t>PDF p.19（印刷頁14），Table 2.3</t>
        </is>
      </c>
      <c r="M95" s="78" t="inlineStr">
        <is>
          <t>原表地區比例分母為2,671名境外全日制求學者；不可解讀為該地區佔所有畢業生比例。</t>
        </is>
      </c>
      <c r="N95" s="78" t="inlineStr">
        <is>
          <t>已逐表轉錄EDB原PDF並視覺核對；表格加總／口徑檢查通過</t>
        </is>
      </c>
    </row>
    <row r="96" ht="30" customHeight="1">
      <c r="A96" s="77" t="inlineStr">
        <is>
          <t>EDB_S6_2025_T23_UNITED_KINGDOM_COUNT</t>
        </is>
      </c>
      <c r="B96" s="77" t="inlineStr">
        <is>
          <t>表2.3｜英國全日制升學人數</t>
        </is>
      </c>
      <c r="C96" s="77" t="inlineStr">
        <is>
          <t>2025</t>
        </is>
      </c>
      <c r="D96" s="77" t="inlineStr">
        <is>
          <t>中學後／中六畢業出口</t>
        </is>
      </c>
      <c r="E96" s="77" t="inlineStr">
        <is>
          <t>在香港以外繼續全日制求學的2025中六畢業生</t>
        </is>
      </c>
      <c r="F96" s="77" t="inlineStr">
        <is>
          <t>480</t>
        </is>
      </c>
      <c r="G96" s="77" t="inlineStr">
        <is>
          <t>2671</t>
        </is>
      </c>
      <c r="H96" s="77" t="inlineStr">
        <is>
          <t>480</t>
        </is>
      </c>
      <c r="I96" s="77" t="inlineStr">
        <is>
          <t>人</t>
        </is>
      </c>
      <c r="J96" s="77" t="inlineStr">
        <is>
          <t>官方照錄</t>
        </is>
      </c>
      <c r="K96" s="77" t="inlineStr">
        <is>
          <t>EDB-S6-2025</t>
        </is>
      </c>
      <c r="L96" s="77" t="inlineStr">
        <is>
          <t>PDF p.19（印刷頁14），Table 2.3</t>
        </is>
      </c>
      <c r="M96" s="77" t="inlineStr">
        <is>
          <t>地區比例以2,671名境外全日制求學者為分母；不是全體畢業生比例。課程類別交叉格詳見原表，保留**保密格。</t>
        </is>
      </c>
      <c r="N96" s="77" t="inlineStr">
        <is>
          <t>已逐表轉錄EDB原PDF並視覺核對；表格加總／口徑檢查通過</t>
        </is>
      </c>
    </row>
    <row r="97" ht="30" customHeight="1">
      <c r="A97" s="78" t="inlineStr">
        <is>
          <t>EDB_S6_2025_T23_UNITED_KINGDOM_SHARE</t>
        </is>
      </c>
      <c r="B97" s="78" t="inlineStr">
        <is>
          <t>表2.3｜英國佔境外升學者比例</t>
        </is>
      </c>
      <c r="C97" s="78" t="inlineStr">
        <is>
          <t>2025</t>
        </is>
      </c>
      <c r="D97" s="78" t="inlineStr">
        <is>
          <t>中學後／中六畢業出口</t>
        </is>
      </c>
      <c r="E97" s="78" t="inlineStr">
        <is>
          <t>在香港以外繼續全日制求學的2025中六畢業生</t>
        </is>
      </c>
      <c r="F97" s="78" t="inlineStr">
        <is>
          <t>480</t>
        </is>
      </c>
      <c r="G97" s="78" t="inlineStr">
        <is>
          <t>2671</t>
        </is>
      </c>
      <c r="H97" s="78" t="inlineStr">
        <is>
          <t>18.0</t>
        </is>
      </c>
      <c r="I97" s="78" t="inlineStr">
        <is>
          <t>%</t>
        </is>
      </c>
      <c r="J97" s="78" t="inlineStr">
        <is>
          <t>官方公布比例</t>
        </is>
      </c>
      <c r="K97" s="78" t="inlineStr">
        <is>
          <t>EDB-S6-2025</t>
        </is>
      </c>
      <c r="L97" s="78" t="inlineStr">
        <is>
          <t>PDF p.19（印刷頁14），Table 2.3</t>
        </is>
      </c>
      <c r="M97" s="78" t="inlineStr">
        <is>
          <t>原表地區比例分母為2,671名境外全日制求學者；不可解讀為該地區佔所有畢業生比例。</t>
        </is>
      </c>
      <c r="N97" s="78" t="inlineStr">
        <is>
          <t>已逐表轉錄EDB原PDF並視覺核對；表格加總／口徑檢查通過</t>
        </is>
      </c>
    </row>
    <row r="98" ht="30" customHeight="1">
      <c r="A98" s="77" t="inlineStr">
        <is>
          <t>EDB_S6_2025_T23_AUSTRALIA_COUNT</t>
        </is>
      </c>
      <c r="B98" s="77" t="inlineStr">
        <is>
          <t>表2.3｜澳洲全日制升學人數</t>
        </is>
      </c>
      <c r="C98" s="77" t="inlineStr">
        <is>
          <t>2025</t>
        </is>
      </c>
      <c r="D98" s="77" t="inlineStr">
        <is>
          <t>中學後／中六畢業出口</t>
        </is>
      </c>
      <c r="E98" s="77" t="inlineStr">
        <is>
          <t>在香港以外繼續全日制求學的2025中六畢業生</t>
        </is>
      </c>
      <c r="F98" s="77" t="inlineStr">
        <is>
          <t>363</t>
        </is>
      </c>
      <c r="G98" s="77" t="inlineStr">
        <is>
          <t>2671</t>
        </is>
      </c>
      <c r="H98" s="77" t="inlineStr">
        <is>
          <t>363</t>
        </is>
      </c>
      <c r="I98" s="77" t="inlineStr">
        <is>
          <t>人</t>
        </is>
      </c>
      <c r="J98" s="77" t="inlineStr">
        <is>
          <t>官方照錄</t>
        </is>
      </c>
      <c r="K98" s="77" t="inlineStr">
        <is>
          <t>EDB-S6-2025</t>
        </is>
      </c>
      <c r="L98" s="77" t="inlineStr">
        <is>
          <t>PDF p.19（印刷頁14），Table 2.3</t>
        </is>
      </c>
      <c r="M98" s="77" t="inlineStr">
        <is>
          <t>地區比例以2,671名境外全日制求學者為分母；不是全體畢業生比例。課程類別交叉格詳見原表，保留**保密格。</t>
        </is>
      </c>
      <c r="N98" s="77" t="inlineStr">
        <is>
          <t>已逐表轉錄EDB原PDF並視覺核對；表格加總／口徑檢查通過</t>
        </is>
      </c>
    </row>
    <row r="99" ht="30" customHeight="1">
      <c r="A99" s="78" t="inlineStr">
        <is>
          <t>EDB_S6_2025_T23_AUSTRALIA_SHARE</t>
        </is>
      </c>
      <c r="B99" s="78" t="inlineStr">
        <is>
          <t>表2.3｜澳洲佔境外升學者比例</t>
        </is>
      </c>
      <c r="C99" s="78" t="inlineStr">
        <is>
          <t>2025</t>
        </is>
      </c>
      <c r="D99" s="78" t="inlineStr">
        <is>
          <t>中學後／中六畢業出口</t>
        </is>
      </c>
      <c r="E99" s="78" t="inlineStr">
        <is>
          <t>在香港以外繼續全日制求學的2025中六畢業生</t>
        </is>
      </c>
      <c r="F99" s="78" t="inlineStr">
        <is>
          <t>363</t>
        </is>
      </c>
      <c r="G99" s="78" t="inlineStr">
        <is>
          <t>2671</t>
        </is>
      </c>
      <c r="H99" s="78" t="inlineStr">
        <is>
          <t>13.6</t>
        </is>
      </c>
      <c r="I99" s="78" t="inlineStr">
        <is>
          <t>%</t>
        </is>
      </c>
      <c r="J99" s="78" t="inlineStr">
        <is>
          <t>官方公布比例</t>
        </is>
      </c>
      <c r="K99" s="78" t="inlineStr">
        <is>
          <t>EDB-S6-2025</t>
        </is>
      </c>
      <c r="L99" s="78" t="inlineStr">
        <is>
          <t>PDF p.19（印刷頁14），Table 2.3</t>
        </is>
      </c>
      <c r="M99" s="78" t="inlineStr">
        <is>
          <t>原表地區比例分母為2,671名境外全日制求學者；不可解讀為該地區佔所有畢業生比例。</t>
        </is>
      </c>
      <c r="N99" s="78" t="inlineStr">
        <is>
          <t>已逐表轉錄EDB原PDF並視覺核對；表格加總／口徑檢查通過</t>
        </is>
      </c>
    </row>
    <row r="100" ht="30" customHeight="1">
      <c r="A100" s="77" t="inlineStr">
        <is>
          <t>EDB_S6_2025_T23_TAIWAN_COUNT</t>
        </is>
      </c>
      <c r="B100" s="77" t="inlineStr">
        <is>
          <t>表2.3｜台灣全日制升學人數</t>
        </is>
      </c>
      <c r="C100" s="77" t="inlineStr">
        <is>
          <t>2025</t>
        </is>
      </c>
      <c r="D100" s="77" t="inlineStr">
        <is>
          <t>中學後／中六畢業出口</t>
        </is>
      </c>
      <c r="E100" s="77" t="inlineStr">
        <is>
          <t>在香港以外繼續全日制求學的2025中六畢業生</t>
        </is>
      </c>
      <c r="F100" s="77" t="inlineStr">
        <is>
          <t>196</t>
        </is>
      </c>
      <c r="G100" s="77" t="inlineStr">
        <is>
          <t>2671</t>
        </is>
      </c>
      <c r="H100" s="77" t="inlineStr">
        <is>
          <t>196</t>
        </is>
      </c>
      <c r="I100" s="77" t="inlineStr">
        <is>
          <t>人</t>
        </is>
      </c>
      <c r="J100" s="77" t="inlineStr">
        <is>
          <t>官方照錄</t>
        </is>
      </c>
      <c r="K100" s="77" t="inlineStr">
        <is>
          <t>EDB-S6-2025</t>
        </is>
      </c>
      <c r="L100" s="77" t="inlineStr">
        <is>
          <t>PDF p.19（印刷頁14），Table 2.3</t>
        </is>
      </c>
      <c r="M100" s="77" t="inlineStr">
        <is>
          <t>地區比例以2,671名境外全日制求學者為分母；不是全體畢業生比例。課程類別交叉格詳見原表，保留**保密格。</t>
        </is>
      </c>
      <c r="N100" s="77" t="inlineStr">
        <is>
          <t>已逐表轉錄EDB原PDF並視覺核對；表格加總／口徑檢查通過</t>
        </is>
      </c>
    </row>
    <row r="101" ht="30" customHeight="1">
      <c r="A101" s="78" t="inlineStr">
        <is>
          <t>EDB_S6_2025_T23_TAIWAN_SHARE</t>
        </is>
      </c>
      <c r="B101" s="78" t="inlineStr">
        <is>
          <t>表2.3｜台灣佔境外升學者比例</t>
        </is>
      </c>
      <c r="C101" s="78" t="inlineStr">
        <is>
          <t>2025</t>
        </is>
      </c>
      <c r="D101" s="78" t="inlineStr">
        <is>
          <t>中學後／中六畢業出口</t>
        </is>
      </c>
      <c r="E101" s="78" t="inlineStr">
        <is>
          <t>在香港以外繼續全日制求學的2025中六畢業生</t>
        </is>
      </c>
      <c r="F101" s="78" t="inlineStr">
        <is>
          <t>196</t>
        </is>
      </c>
      <c r="G101" s="78" t="inlineStr">
        <is>
          <t>2671</t>
        </is>
      </c>
      <c r="H101" s="78" t="inlineStr">
        <is>
          <t>7.3</t>
        </is>
      </c>
      <c r="I101" s="78" t="inlineStr">
        <is>
          <t>%</t>
        </is>
      </c>
      <c r="J101" s="78" t="inlineStr">
        <is>
          <t>官方公布比例</t>
        </is>
      </c>
      <c r="K101" s="78" t="inlineStr">
        <is>
          <t>EDB-S6-2025</t>
        </is>
      </c>
      <c r="L101" s="78" t="inlineStr">
        <is>
          <t>PDF p.19（印刷頁14），Table 2.3</t>
        </is>
      </c>
      <c r="M101" s="78" t="inlineStr">
        <is>
          <t>原表地區比例分母為2,671名境外全日制求學者；不可解讀為該地區佔所有畢業生比例。</t>
        </is>
      </c>
      <c r="N101" s="78" t="inlineStr">
        <is>
          <t>已逐表轉錄EDB原PDF並視覺核對；表格加總／口徑檢查通過</t>
        </is>
      </c>
    </row>
    <row r="102" ht="30" customHeight="1">
      <c r="A102" s="77" t="inlineStr">
        <is>
          <t>EDB_S6_2025_T23_CANADA_COUNT</t>
        </is>
      </c>
      <c r="B102" s="77" t="inlineStr">
        <is>
          <t>表2.3｜加拿大全日制升學人數</t>
        </is>
      </c>
      <c r="C102" s="77" t="inlineStr">
        <is>
          <t>2025</t>
        </is>
      </c>
      <c r="D102" s="77" t="inlineStr">
        <is>
          <t>中學後／中六畢業出口</t>
        </is>
      </c>
      <c r="E102" s="77" t="inlineStr">
        <is>
          <t>在香港以外繼續全日制求學的2025中六畢業生</t>
        </is>
      </c>
      <c r="F102" s="77" t="inlineStr">
        <is>
          <t>78</t>
        </is>
      </c>
      <c r="G102" s="77" t="inlineStr">
        <is>
          <t>2671</t>
        </is>
      </c>
      <c r="H102" s="77" t="inlineStr">
        <is>
          <t>78</t>
        </is>
      </c>
      <c r="I102" s="77" t="inlineStr">
        <is>
          <t>人</t>
        </is>
      </c>
      <c r="J102" s="77" t="inlineStr">
        <is>
          <t>官方照錄</t>
        </is>
      </c>
      <c r="K102" s="77" t="inlineStr">
        <is>
          <t>EDB-S6-2025</t>
        </is>
      </c>
      <c r="L102" s="77" t="inlineStr">
        <is>
          <t>PDF p.19（印刷頁14），Table 2.3</t>
        </is>
      </c>
      <c r="M102" s="77" t="inlineStr">
        <is>
          <t>地區比例以2,671名境外全日制求學者為分母；不是全體畢業生比例。課程類別交叉格詳見原表，保留**保密格。</t>
        </is>
      </c>
      <c r="N102" s="77" t="inlineStr">
        <is>
          <t>已逐表轉錄EDB原PDF並視覺核對；表格加總／口徑檢查通過</t>
        </is>
      </c>
    </row>
    <row r="103" ht="30" customHeight="1">
      <c r="A103" s="78" t="inlineStr">
        <is>
          <t>EDB_S6_2025_T23_CANADA_SHARE</t>
        </is>
      </c>
      <c r="B103" s="78" t="inlineStr">
        <is>
          <t>表2.3｜加拿大佔境外升學者比例</t>
        </is>
      </c>
      <c r="C103" s="78" t="inlineStr">
        <is>
          <t>2025</t>
        </is>
      </c>
      <c r="D103" s="78" t="inlineStr">
        <is>
          <t>中學後／中六畢業出口</t>
        </is>
      </c>
      <c r="E103" s="78" t="inlineStr">
        <is>
          <t>在香港以外繼續全日制求學的2025中六畢業生</t>
        </is>
      </c>
      <c r="F103" s="78" t="inlineStr">
        <is>
          <t>78</t>
        </is>
      </c>
      <c r="G103" s="78" t="inlineStr">
        <is>
          <t>2671</t>
        </is>
      </c>
      <c r="H103" s="78" t="inlineStr">
        <is>
          <t>2.9</t>
        </is>
      </c>
      <c r="I103" s="78" t="inlineStr">
        <is>
          <t>%</t>
        </is>
      </c>
      <c r="J103" s="78" t="inlineStr">
        <is>
          <t>官方公布比例</t>
        </is>
      </c>
      <c r="K103" s="78" t="inlineStr">
        <is>
          <t>EDB-S6-2025</t>
        </is>
      </c>
      <c r="L103" s="78" t="inlineStr">
        <is>
          <t>PDF p.19（印刷頁14），Table 2.3</t>
        </is>
      </c>
      <c r="M103" s="78" t="inlineStr">
        <is>
          <t>原表地區比例分母為2,671名境外全日制求學者；不可解讀為該地區佔所有畢業生比例。</t>
        </is>
      </c>
      <c r="N103" s="78" t="inlineStr">
        <is>
          <t>已逐表轉錄EDB原PDF並視覺核對；表格加總／口徑檢查通過</t>
        </is>
      </c>
    </row>
    <row r="104" ht="30" customHeight="1">
      <c r="A104" s="77" t="inlineStr">
        <is>
          <t>EDB_S6_2025_T23_UNITED_STATES_COUNT</t>
        </is>
      </c>
      <c r="B104" s="77" t="inlineStr">
        <is>
          <t>表2.3｜美國全日制升學人數</t>
        </is>
      </c>
      <c r="C104" s="77" t="inlineStr">
        <is>
          <t>2025</t>
        </is>
      </c>
      <c r="D104" s="77" t="inlineStr">
        <is>
          <t>中學後／中六畢業出口</t>
        </is>
      </c>
      <c r="E104" s="77" t="inlineStr">
        <is>
          <t>在香港以外繼續全日制求學的2025中六畢業生</t>
        </is>
      </c>
      <c r="F104" s="77" t="inlineStr">
        <is>
          <t>77</t>
        </is>
      </c>
      <c r="G104" s="77" t="inlineStr">
        <is>
          <t>2671</t>
        </is>
      </c>
      <c r="H104" s="77" t="inlineStr">
        <is>
          <t>77</t>
        </is>
      </c>
      <c r="I104" s="77" t="inlineStr">
        <is>
          <t>人</t>
        </is>
      </c>
      <c r="J104" s="77" t="inlineStr">
        <is>
          <t>官方照錄</t>
        </is>
      </c>
      <c r="K104" s="77" t="inlineStr">
        <is>
          <t>EDB-S6-2025</t>
        </is>
      </c>
      <c r="L104" s="77" t="inlineStr">
        <is>
          <t>PDF p.19（印刷頁14），Table 2.3</t>
        </is>
      </c>
      <c r="M104" s="77" t="inlineStr">
        <is>
          <t>地區比例以2,671名境外全日制求學者為分母；不是全體畢業生比例。課程類別交叉格詳見原表，保留**保密格。</t>
        </is>
      </c>
      <c r="N104" s="77" t="inlineStr">
        <is>
          <t>已逐表轉錄EDB原PDF並視覺核對；表格加總／口徑檢查通過</t>
        </is>
      </c>
    </row>
    <row r="105" ht="30" customHeight="1">
      <c r="A105" s="78" t="inlineStr">
        <is>
          <t>EDB_S6_2025_T23_UNITED_STATES_SHARE</t>
        </is>
      </c>
      <c r="B105" s="78" t="inlineStr">
        <is>
          <t>表2.3｜美國佔境外升學者比例</t>
        </is>
      </c>
      <c r="C105" s="78" t="inlineStr">
        <is>
          <t>2025</t>
        </is>
      </c>
      <c r="D105" s="78" t="inlineStr">
        <is>
          <t>中學後／中六畢業出口</t>
        </is>
      </c>
      <c r="E105" s="78" t="inlineStr">
        <is>
          <t>在香港以外繼續全日制求學的2025中六畢業生</t>
        </is>
      </c>
      <c r="F105" s="78" t="inlineStr">
        <is>
          <t>77</t>
        </is>
      </c>
      <c r="G105" s="78" t="inlineStr">
        <is>
          <t>2671</t>
        </is>
      </c>
      <c r="H105" s="78" t="inlineStr">
        <is>
          <t>2.9</t>
        </is>
      </c>
      <c r="I105" s="78" t="inlineStr">
        <is>
          <t>%</t>
        </is>
      </c>
      <c r="J105" s="78" t="inlineStr">
        <is>
          <t>官方公布比例</t>
        </is>
      </c>
      <c r="K105" s="78" t="inlineStr">
        <is>
          <t>EDB-S6-2025</t>
        </is>
      </c>
      <c r="L105" s="78" t="inlineStr">
        <is>
          <t>PDF p.19（印刷頁14），Table 2.3</t>
        </is>
      </c>
      <c r="M105" s="78" t="inlineStr">
        <is>
          <t>原表地區比例分母為2,671名境外全日制求學者；不可解讀為該地區佔所有畢業生比例。</t>
        </is>
      </c>
      <c r="N105" s="78" t="inlineStr">
        <is>
          <t>已逐表轉錄EDB原PDF並視覺核對；表格加總／口徑檢查通過</t>
        </is>
      </c>
    </row>
    <row r="106" ht="30" customHeight="1">
      <c r="A106" s="77" t="inlineStr">
        <is>
          <t>EDB_S6_2025_T23_OTHERS_COUNT</t>
        </is>
      </c>
      <c r="B106" s="77" t="inlineStr">
        <is>
          <t>表2.3｜其他全日制升學人數</t>
        </is>
      </c>
      <c r="C106" s="77" t="inlineStr">
        <is>
          <t>2025</t>
        </is>
      </c>
      <c r="D106" s="77" t="inlineStr">
        <is>
          <t>中學後／中六畢業出口</t>
        </is>
      </c>
      <c r="E106" s="77" t="inlineStr">
        <is>
          <t>在香港以外繼續全日制求學的2025中六畢業生</t>
        </is>
      </c>
      <c r="F106" s="77" t="inlineStr">
        <is>
          <t>218</t>
        </is>
      </c>
      <c r="G106" s="77" t="inlineStr">
        <is>
          <t>2671</t>
        </is>
      </c>
      <c r="H106" s="77" t="inlineStr">
        <is>
          <t>218</t>
        </is>
      </c>
      <c r="I106" s="77" t="inlineStr">
        <is>
          <t>人</t>
        </is>
      </c>
      <c r="J106" s="77" t="inlineStr">
        <is>
          <t>官方照錄</t>
        </is>
      </c>
      <c r="K106" s="77" t="inlineStr">
        <is>
          <t>EDB-S6-2025</t>
        </is>
      </c>
      <c r="L106" s="77" t="inlineStr">
        <is>
          <t>PDF p.19（印刷頁14），Table 2.3</t>
        </is>
      </c>
      <c r="M106" s="77" t="inlineStr">
        <is>
          <t>地區比例以2,671名境外全日制求學者為分母；不是全體畢業生比例。課程類別交叉格詳見原表，保留**保密格。</t>
        </is>
      </c>
      <c r="N106" s="77" t="inlineStr">
        <is>
          <t>已逐表轉錄EDB原PDF並視覺核對；表格加總／口徑檢查通過</t>
        </is>
      </c>
    </row>
    <row r="107" ht="30" customHeight="1">
      <c r="A107" s="78" t="inlineStr">
        <is>
          <t>EDB_S6_2025_T23_OTHERS_SHARE</t>
        </is>
      </c>
      <c r="B107" s="78" t="inlineStr">
        <is>
          <t>表2.3｜其他佔境外升學者比例</t>
        </is>
      </c>
      <c r="C107" s="78" t="inlineStr">
        <is>
          <t>2025</t>
        </is>
      </c>
      <c r="D107" s="78" t="inlineStr">
        <is>
          <t>中學後／中六畢業出口</t>
        </is>
      </c>
      <c r="E107" s="78" t="inlineStr">
        <is>
          <t>在香港以外繼續全日制求學的2025中六畢業生</t>
        </is>
      </c>
      <c r="F107" s="78" t="inlineStr">
        <is>
          <t>218</t>
        </is>
      </c>
      <c r="G107" s="78" t="inlineStr">
        <is>
          <t>2671</t>
        </is>
      </c>
      <c r="H107" s="78" t="inlineStr">
        <is>
          <t>8.2</t>
        </is>
      </c>
      <c r="I107" s="78" t="inlineStr">
        <is>
          <t>%</t>
        </is>
      </c>
      <c r="J107" s="78" t="inlineStr">
        <is>
          <t>官方公布比例</t>
        </is>
      </c>
      <c r="K107" s="78" t="inlineStr">
        <is>
          <t>EDB-S6-2025</t>
        </is>
      </c>
      <c r="L107" s="78" t="inlineStr">
        <is>
          <t>PDF p.19（印刷頁14），Table 2.3</t>
        </is>
      </c>
      <c r="M107" s="78" t="inlineStr">
        <is>
          <t>原表地區比例分母為2,671名境外全日制求學者；不可解讀為該地區佔所有畢業生比例。</t>
        </is>
      </c>
      <c r="N107" s="78" t="inlineStr">
        <is>
          <t>已逐表轉錄EDB原PDF並視覺核對；表格加總／口徑檢查通過</t>
        </is>
      </c>
    </row>
    <row r="108" ht="30" customHeight="1">
      <c r="A108" s="77" t="inlineStr">
        <is>
          <t>EDB_S6_2025_T23_OUTSIDE_TOTAL_COUNT</t>
        </is>
      </c>
      <c r="B108" s="77" t="inlineStr">
        <is>
          <t>表2.3｜境外全日制求學總人數</t>
        </is>
      </c>
      <c r="C108" s="77" t="inlineStr">
        <is>
          <t>2025</t>
        </is>
      </c>
      <c r="D108" s="77" t="inlineStr">
        <is>
          <t>中學後／中六畢業出口</t>
        </is>
      </c>
      <c r="E108" s="77" t="inlineStr">
        <is>
          <t>在香港以外繼續全日制求學的2025中六畢業生</t>
        </is>
      </c>
      <c r="F108" s="77" t="inlineStr">
        <is>
          <t>2671</t>
        </is>
      </c>
      <c r="G108" s="77" t="inlineStr"/>
      <c r="H108" s="77" t="inlineStr">
        <is>
          <t>2671</t>
        </is>
      </c>
      <c r="I108" s="77" t="inlineStr">
        <is>
          <t>人</t>
        </is>
      </c>
      <c r="J108" s="77" t="inlineStr">
        <is>
          <t>官方照錄</t>
        </is>
      </c>
      <c r="K108" s="77" t="inlineStr">
        <is>
          <t>EDB-S6-2025</t>
        </is>
      </c>
      <c r="L108" s="77" t="inlineStr">
        <is>
          <t>PDF p.19（印刷頁14），Table 2.3總數行</t>
        </is>
      </c>
      <c r="M108" s="77" t="inlineStr">
        <is>
          <t>與Chart 2.5外地求學人數一致。</t>
        </is>
      </c>
      <c r="N108" s="77" t="inlineStr">
        <is>
          <t>已逐表轉錄EDB原PDF並視覺核對；表格加總／口徑檢查通過</t>
        </is>
      </c>
    </row>
    <row r="109" ht="30" customHeight="1">
      <c r="A109" s="78" t="inlineStr">
        <is>
          <t>EDB_S6_2025_T23_OUTSIDE_TOTAL_SHARE</t>
        </is>
      </c>
      <c r="B109" s="78" t="inlineStr">
        <is>
          <t>表2.3｜境外地區合計比例</t>
        </is>
      </c>
      <c r="C109" s="78" t="inlineStr">
        <is>
          <t>2025</t>
        </is>
      </c>
      <c r="D109" s="78" t="inlineStr">
        <is>
          <t>中學後／中六畢業出口</t>
        </is>
      </c>
      <c r="E109" s="78" t="inlineStr">
        <is>
          <t>在香港以外繼續全日制求學的2025中六畢業生</t>
        </is>
      </c>
      <c r="F109" s="78" t="inlineStr">
        <is>
          <t>2671</t>
        </is>
      </c>
      <c r="G109" s="78" t="inlineStr">
        <is>
          <t>2671</t>
        </is>
      </c>
      <c r="H109" s="78" t="inlineStr">
        <is>
          <t>100.0</t>
        </is>
      </c>
      <c r="I109" s="78" t="inlineStr">
        <is>
          <t>%</t>
        </is>
      </c>
      <c r="J109" s="78" t="inlineStr">
        <is>
          <t>官方公布比例</t>
        </is>
      </c>
      <c r="K109" s="78" t="inlineStr">
        <is>
          <t>EDB-S6-2025</t>
        </is>
      </c>
      <c r="L109" s="78" t="inlineStr">
        <is>
          <t>PDF p.19（印刷頁14），Table 2.3總數行</t>
        </is>
      </c>
      <c r="M109" s="78" t="inlineStr">
        <is>
          <t>Table 2.3總數行的地區合計，不是全體S6畢業生比例。</t>
        </is>
      </c>
      <c r="N109" s="78" t="inlineStr">
        <is>
          <t>已逐表轉錄EDB原PDF並視覺核對；表格加總／口徑檢查通過</t>
        </is>
      </c>
    </row>
    <row r="110" ht="30" customHeight="1">
      <c r="A110" s="77" t="inlineStr">
        <is>
          <t>HKDSE_2026_DAY_SCHOOL_SAT</t>
        </is>
      </c>
      <c r="B110" s="77" t="inlineStr">
        <is>
          <t>2026 HKDSE日校考生實際應考人數</t>
        </is>
      </c>
      <c r="C110" s="77" t="inlineStr">
        <is>
          <t>2026</t>
        </is>
      </c>
      <c r="D110" s="77" t="inlineStr">
        <is>
          <t>公開考試</t>
        </is>
      </c>
      <c r="E110" s="77" t="inlineStr">
        <is>
          <t>HKEAA附件一Table 1列示之日校考生</t>
        </is>
      </c>
      <c r="F110" s="77" t="inlineStr">
        <is>
          <t>43347</t>
        </is>
      </c>
      <c r="G110" s="77" t="inlineStr"/>
      <c r="H110" s="77" t="inlineStr">
        <is>
          <t>43347</t>
        </is>
      </c>
      <c r="I110" s="77" t="inlineStr">
        <is>
          <t>人</t>
        </is>
      </c>
      <c r="J110" s="77" t="inlineStr">
        <is>
          <t>官方照錄</t>
        </is>
      </c>
      <c r="K110" s="77" t="inlineStr">
        <is>
          <t>HKDSE26</t>
        </is>
      </c>
      <c r="L110" s="77" t="inlineStr">
        <is>
          <t>Annex 1, Table 1: No. sat</t>
        </is>
      </c>
      <c r="M110" s="77" t="inlineStr">
        <is>
          <t>與No. entered=43,534區分；屬日校考生，不是全體58,487名報考考生。</t>
        </is>
      </c>
      <c r="N110" s="77" t="inlineStr">
        <is>
          <t>已核對HKEAA官方附件一No. sat欄</t>
        </is>
      </c>
    </row>
    <row r="111" ht="30" customHeight="1">
      <c r="A111" s="78" t="inlineStr">
        <is>
          <t>HKDSE_AD_22222_COUNT</t>
        </is>
      </c>
      <c r="B111" s="78" t="inlineStr">
        <is>
          <t>2026達副學位最低成績要求的日校考生人數</t>
        </is>
      </c>
      <c r="C111" s="78" t="inlineStr">
        <is>
          <t>2026</t>
        </is>
      </c>
      <c r="D111" s="78" t="inlineStr">
        <is>
          <t>公開考試</t>
        </is>
      </c>
      <c r="E111" s="78" t="inlineStr">
        <is>
          <t>HKEAA英文新聞稿所指：曾應考副學位最低入學要求相關科目的日校考生子群</t>
        </is>
      </c>
      <c r="F111" s="78" t="inlineStr">
        <is>
          <t>30977</t>
        </is>
      </c>
      <c r="G111" s="78" t="inlineStr"/>
      <c r="H111" s="78" t="inlineStr">
        <is>
          <t>30977</t>
        </is>
      </c>
      <c r="I111" s="78" t="inlineStr">
        <is>
          <t>人</t>
        </is>
      </c>
      <c r="J111" s="78" t="inlineStr">
        <is>
          <t>官方照錄</t>
        </is>
      </c>
      <c r="K111" s="78" t="inlineStr">
        <is>
          <t>HKDSE26</t>
        </is>
      </c>
      <c r="L111" s="78" t="inlineStr">
        <is>
          <t>Results release: candidate performance section</t>
        </is>
      </c>
      <c r="M111" s="78" t="inlineStr">
        <is>
          <t>HKEAA英文新聞稿稱30,977人約佔「應考這些科目」的日校考生73.2%，故分母母體不是附件一全體日校No. sat。全體No. sat=43,347只供區分範圍；30,977/43,347=71.463%，不等於73.2%。新聞稿未列出該子群確切人數；按73.2%四捨五入至一位小數反推的42,290–42,347僅為數學範圍推算，並非官方分母，不寫入數據欄。</t>
        </is>
      </c>
      <c r="N111" s="78" t="inlineStr">
        <is>
          <t>已核對HKEAA公布人數與73.2%；英文原文釐清母體範圍；確切分母未在新聞稿列明，留空</t>
        </is>
      </c>
    </row>
    <row r="112" ht="30" customHeight="1">
      <c r="A112" s="77" t="inlineStr">
        <is>
          <t>HKDSE_AD_22222_SHARE</t>
        </is>
      </c>
      <c r="B112" s="77" t="inlineStr">
        <is>
          <t>2026達副學位最低成績要求的官方公布比例</t>
        </is>
      </c>
      <c r="C112" s="77" t="inlineStr">
        <is>
          <t>2026</t>
        </is>
      </c>
      <c r="D112" s="77" t="inlineStr">
        <is>
          <t>公開考試</t>
        </is>
      </c>
      <c r="E112" s="77" t="inlineStr">
        <is>
          <t>HKEAA英文新聞稿所指：曾應考副學位最低入學要求相關科目的日校考生子群</t>
        </is>
      </c>
      <c r="F112" s="77" t="inlineStr">
        <is>
          <t>30977</t>
        </is>
      </c>
      <c r="G112" s="77" t="inlineStr"/>
      <c r="H112" s="77" t="inlineStr">
        <is>
          <t>73.2</t>
        </is>
      </c>
      <c r="I112" s="77" t="inlineStr">
        <is>
          <t>%</t>
        </is>
      </c>
      <c r="J112" s="77" t="inlineStr">
        <is>
          <t>官方公布比例</t>
        </is>
      </c>
      <c r="K112" s="77" t="inlineStr">
        <is>
          <t>HKDSE26</t>
        </is>
      </c>
      <c r="L112" s="77" t="inlineStr">
        <is>
          <t>Results release: candidate performance section</t>
        </is>
      </c>
      <c r="M112" s="77" t="inlineStr">
        <is>
          <t>HKEAA英文新聞稿稱30,977人約佔「應考這些科目」的日校考生73.2%，故分母母體不是附件一全體日校No. sat。全體No. sat=43,347只供區分範圍；30,977/43,347=71.463%，不等於73.2%。新聞稿未列出該子群確切人數；按73.2%四捨五入至一位小數反推的42,290–42,347僅為數學範圍推算，並非官方分母，不寫入數據欄。</t>
        </is>
      </c>
      <c r="N112" s="77" t="inlineStr">
        <is>
          <t>已核對HKEAA公布73.2%；母體範圍已釐清，確切分母未公布／未獨立核實</t>
        </is>
      </c>
    </row>
    <row r="113" ht="30" customHeight="1">
      <c r="A113" s="78" t="inlineStr">
        <is>
          <t>EDB_S6_2021_SCHOOLS</t>
        </is>
      </c>
      <c r="B113" s="78" t="inlineStr">
        <is>
          <t>納入調查的普通中學日校數</t>
        </is>
      </c>
      <c r="C113" s="78" t="inlineStr">
        <is>
          <t>2021</t>
        </is>
      </c>
      <c r="D113" s="78" t="inlineStr">
        <is>
          <t>中學後／中六畢業出口</t>
        </is>
      </c>
      <c r="E113" s="78" t="inlineStr">
        <is>
          <t>EDB指定本地普通中學日校之有回應中六畢業生；按指標另註</t>
        </is>
      </c>
      <c r="F113" s="78" t="inlineStr">
        <is>
          <t>451</t>
        </is>
      </c>
      <c r="G113" s="78" t="inlineStr"/>
      <c r="H113" s="78" t="inlineStr">
        <is>
          <t>451</t>
        </is>
      </c>
      <c r="I113" s="78" t="inlineStr">
        <is>
          <t>所</t>
        </is>
      </c>
      <c r="J113" s="78" t="inlineStr">
        <is>
          <t>官方照錄</t>
        </is>
      </c>
      <c r="K113" s="78" t="inlineStr">
        <is>
          <t>EDB-S6-2021</t>
        </is>
      </c>
      <c r="L113" s="78" t="inlineStr">
        <is>
          <t>PDF p.7（印刷頁2），段1.4</t>
        </is>
      </c>
      <c r="M113" s="78" t="inlineStr">
        <is>
          <t>只涵蓋有該屆畢業生且提供本地課程的本地普通中學日校。</t>
        </is>
      </c>
      <c r="N113" s="78" t="inlineStr">
        <is>
          <t>已從官方PDF逐表轉錄並經加總／視覺核對</t>
        </is>
      </c>
    </row>
    <row r="114" ht="30" customHeight="1">
      <c r="A114" s="77" t="inlineStr">
        <is>
          <t>EDB_S6_2021_TARGET_APPROX</t>
        </is>
      </c>
      <c r="B114" s="77" t="inlineStr">
        <is>
          <t>調查目標畢業生總數（約）</t>
        </is>
      </c>
      <c r="C114" s="77" t="inlineStr">
        <is>
          <t>2021</t>
        </is>
      </c>
      <c r="D114" s="77" t="inlineStr">
        <is>
          <t>中學後／中六畢業出口</t>
        </is>
      </c>
      <c r="E114" s="77" t="inlineStr">
        <is>
          <t>EDB指定本地普通中學日校之有回應中六畢業生；按指標另註</t>
        </is>
      </c>
      <c r="F114" s="77" t="inlineStr">
        <is>
          <t>43400</t>
        </is>
      </c>
      <c r="G114" s="77" t="inlineStr"/>
      <c r="H114" s="77" t="inlineStr">
        <is>
          <t>43400</t>
        </is>
      </c>
      <c r="I114" s="77" t="inlineStr">
        <is>
          <t>人（約）</t>
        </is>
      </c>
      <c r="J114" s="77" t="inlineStr">
        <is>
          <t>官方約數</t>
        </is>
      </c>
      <c r="K114" s="77" t="inlineStr">
        <is>
          <t>EDB-S6-2021</t>
        </is>
      </c>
      <c r="L114" s="77" t="inlineStr">
        <is>
          <t>PDF p.7（印刷頁2），段1.4</t>
        </is>
      </c>
      <c r="M114" s="77" t="inlineStr">
        <is>
          <t>EDB用some約數，不作精確回應率分母。</t>
        </is>
      </c>
      <c r="N114" s="77" t="inlineStr">
        <is>
          <t>已從官方PDF逐表轉錄並經加總／視覺核對</t>
        </is>
      </c>
    </row>
    <row r="115" ht="30" customHeight="1">
      <c r="A115" s="78" t="inlineStr">
        <is>
          <t>EDB_S6_2021_RESPONDENTS</t>
        </is>
      </c>
      <c r="B115" s="78" t="inlineStr">
        <is>
          <t>調查有回應畢業生</t>
        </is>
      </c>
      <c r="C115" s="78" t="inlineStr">
        <is>
          <t>2021</t>
        </is>
      </c>
      <c r="D115" s="78" t="inlineStr">
        <is>
          <t>中學後／中六畢業出口</t>
        </is>
      </c>
      <c r="E115" s="78" t="inlineStr">
        <is>
          <t>EDB指定本地普通中學日校之有回應中六畢業生；按指標另註</t>
        </is>
      </c>
      <c r="F115" s="78" t="inlineStr">
        <is>
          <t>42204</t>
        </is>
      </c>
      <c r="G115" s="78" t="inlineStr"/>
      <c r="H115" s="78" t="inlineStr">
        <is>
          <t>42204</t>
        </is>
      </c>
      <c r="I115" s="78" t="inlineStr">
        <is>
          <t>人</t>
        </is>
      </c>
      <c r="J115" s="78" t="inlineStr">
        <is>
          <t>官方照錄</t>
        </is>
      </c>
      <c r="K115" s="78" t="inlineStr">
        <is>
          <t>EDB-S6-2021</t>
        </is>
      </c>
      <c r="L115" s="78" t="inlineStr">
        <is>
          <t>PDF p.11（印刷頁6），Table 2.1總數</t>
        </is>
      </c>
      <c r="M115" s="78" t="inlineStr">
        <is>
          <t>表格精確分母；非目標全體人數。</t>
        </is>
      </c>
      <c r="N115" s="78" t="inlineStr">
        <is>
          <t>已從官方PDF逐表轉錄並經加總／視覺核對</t>
        </is>
      </c>
    </row>
    <row r="116" ht="30" customHeight="1">
      <c r="A116" s="77" t="inlineStr">
        <is>
          <t>EDB_S6_2021_RESPONSE_RATE</t>
        </is>
      </c>
      <c r="B116" s="77" t="inlineStr">
        <is>
          <t>調查回應率</t>
        </is>
      </c>
      <c r="C116" s="77" t="inlineStr">
        <is>
          <t>2021</t>
        </is>
      </c>
      <c r="D116" s="77" t="inlineStr">
        <is>
          <t>中學後／中六畢業出口</t>
        </is>
      </c>
      <c r="E116" s="77" t="inlineStr">
        <is>
          <t>EDB指定本地普通中學日校之有回應中六畢業生；按指標另註</t>
        </is>
      </c>
      <c r="F116" s="77" t="inlineStr"/>
      <c r="G116" s="77" t="inlineStr"/>
      <c r="H116" s="77" t="inlineStr">
        <is>
          <t>97.3</t>
        </is>
      </c>
      <c r="I116" s="77" t="inlineStr">
        <is>
          <t>%</t>
        </is>
      </c>
      <c r="J116" s="77" t="inlineStr">
        <is>
          <t>官方公布比例</t>
        </is>
      </c>
      <c r="K116" s="77" t="inlineStr">
        <is>
          <t>EDB-S6-2021</t>
        </is>
      </c>
      <c r="L116" s="77" t="inlineStr">
        <is>
          <t>PDF p.7（印刷頁2），段1.4</t>
        </is>
      </c>
      <c r="M116" s="77" t="inlineStr">
        <is>
          <t>照錄EDB公布值；不以目標約數反推。</t>
        </is>
      </c>
      <c r="N116" s="77" t="inlineStr">
        <is>
          <t>已從官方PDF逐表轉錄並經加總／視覺核對</t>
        </is>
      </c>
    </row>
    <row r="117" ht="30" customHeight="1">
      <c r="A117" s="78" t="inlineStr">
        <is>
          <t>EDB_S6_2021_T21_FULL_TIME_STUDY_ALL_COUNT</t>
        </is>
      </c>
      <c r="B117" s="78" t="inlineStr">
        <is>
          <t>表2.1｜全體有回應畢業生｜全日制求學人數</t>
        </is>
      </c>
      <c r="C117" s="78" t="inlineStr">
        <is>
          <t>2021</t>
        </is>
      </c>
      <c r="D117" s="78" t="inlineStr">
        <is>
          <t>中學後／中六畢業出口</t>
        </is>
      </c>
      <c r="E117" s="78" t="inlineStr">
        <is>
          <t>EDB指定本地普通中學日校之有回應中六畢業生；按指標另註</t>
        </is>
      </c>
      <c r="F117" s="78" t="inlineStr">
        <is>
          <t>39531</t>
        </is>
      </c>
      <c r="G117" s="78" t="inlineStr">
        <is>
          <t>42204</t>
        </is>
      </c>
      <c r="H117" s="78" t="inlineStr">
        <is>
          <t>39531</t>
        </is>
      </c>
      <c r="I117" s="78" t="inlineStr">
        <is>
          <t>人</t>
        </is>
      </c>
      <c r="J117" s="78" t="inlineStr">
        <is>
          <t>官方照錄</t>
        </is>
      </c>
      <c r="K117" s="78" t="inlineStr">
        <is>
          <t>EDB-S6-2021</t>
        </is>
      </c>
      <c r="L117" s="78" t="inlineStr">
        <is>
          <t>PDF p.11（印刷頁6），Table 2.1</t>
        </is>
      </c>
      <c r="M117" s="78" t="inlineStr">
        <is>
          <t>分母為同屆全體有回應畢業生；10月快照。</t>
        </is>
      </c>
      <c r="N117" s="78" t="inlineStr">
        <is>
          <t>已從官方PDF逐表轉錄並經加總／視覺核對</t>
        </is>
      </c>
    </row>
    <row r="118" ht="30" customHeight="1">
      <c r="A118" s="77" t="inlineStr">
        <is>
          <t>EDB_S6_2021_T21_FULL_TIME_STUDY_ALL_SHARE</t>
        </is>
      </c>
      <c r="B118" s="77" t="inlineStr">
        <is>
          <t>表2.1｜全體有回應畢業生｜全日制求學比例</t>
        </is>
      </c>
      <c r="C118" s="77" t="inlineStr">
        <is>
          <t>2021</t>
        </is>
      </c>
      <c r="D118" s="77" t="inlineStr">
        <is>
          <t>中學後／中六畢業出口</t>
        </is>
      </c>
      <c r="E118" s="77" t="inlineStr">
        <is>
          <t>EDB指定本地普通中學日校之有回應中六畢業生；按指標另註</t>
        </is>
      </c>
      <c r="F118" s="77" t="inlineStr">
        <is>
          <t>39531</t>
        </is>
      </c>
      <c r="G118" s="77" t="inlineStr">
        <is>
          <t>42204</t>
        </is>
      </c>
      <c r="H118" s="77" t="inlineStr">
        <is>
          <t>93.7</t>
        </is>
      </c>
      <c r="I118" s="77" t="inlineStr">
        <is>
          <t>%</t>
        </is>
      </c>
      <c r="J118" s="77" t="inlineStr">
        <is>
          <t>官方公布比例</t>
        </is>
      </c>
      <c r="K118" s="77" t="inlineStr">
        <is>
          <t>EDB-S6-2021</t>
        </is>
      </c>
      <c r="L118" s="77" t="inlineStr">
        <is>
          <t>PDF p.11（印刷頁6），Table 2.1</t>
        </is>
      </c>
      <c r="M118" s="77" t="inlineStr">
        <is>
          <t>保留EDB公布至小數一位的比例；不得當作終身結果。</t>
        </is>
      </c>
      <c r="N118" s="77" t="inlineStr">
        <is>
          <t>已從官方PDF逐表轉錄並經加總／視覺核對</t>
        </is>
      </c>
    </row>
    <row r="119" ht="30" customHeight="1">
      <c r="A119" s="78" t="inlineStr">
        <is>
          <t>EDB_S6_2021_T21_FULL_TIME_EMPLOYMENT_ALL_COUNT</t>
        </is>
      </c>
      <c r="B119" s="78" t="inlineStr">
        <is>
          <t>表2.1｜全體有回應畢業生｜全職工作人數</t>
        </is>
      </c>
      <c r="C119" s="78" t="inlineStr">
        <is>
          <t>2021</t>
        </is>
      </c>
      <c r="D119" s="78" t="inlineStr">
        <is>
          <t>中學後／中六畢業出口</t>
        </is>
      </c>
      <c r="E119" s="78" t="inlineStr">
        <is>
          <t>EDB指定本地普通中學日校之有回應中六畢業生；按指標另註</t>
        </is>
      </c>
      <c r="F119" s="78" t="inlineStr">
        <is>
          <t>1168</t>
        </is>
      </c>
      <c r="G119" s="78" t="inlineStr">
        <is>
          <t>42204</t>
        </is>
      </c>
      <c r="H119" s="78" t="inlineStr">
        <is>
          <t>1168</t>
        </is>
      </c>
      <c r="I119" s="78" t="inlineStr">
        <is>
          <t>人</t>
        </is>
      </c>
      <c r="J119" s="78" t="inlineStr">
        <is>
          <t>官方照錄</t>
        </is>
      </c>
      <c r="K119" s="78" t="inlineStr">
        <is>
          <t>EDB-S6-2021</t>
        </is>
      </c>
      <c r="L119" s="78" t="inlineStr">
        <is>
          <t>PDF p.11（印刷頁6），Table 2.1</t>
        </is>
      </c>
      <c r="M119" s="78" t="inlineStr">
        <is>
          <t>分母為同屆全體有回應畢業生；10月快照。</t>
        </is>
      </c>
      <c r="N119" s="78" t="inlineStr">
        <is>
          <t>已從官方PDF逐表轉錄並經加總／視覺核對</t>
        </is>
      </c>
    </row>
    <row r="120" ht="30" customHeight="1">
      <c r="A120" s="77" t="inlineStr">
        <is>
          <t>EDB_S6_2021_T21_FULL_TIME_EMPLOYMENT_ALL_SHARE</t>
        </is>
      </c>
      <c r="B120" s="77" t="inlineStr">
        <is>
          <t>表2.1｜全體有回應畢業生｜全職工作比例</t>
        </is>
      </c>
      <c r="C120" s="77" t="inlineStr">
        <is>
          <t>2021</t>
        </is>
      </c>
      <c r="D120" s="77" t="inlineStr">
        <is>
          <t>中學後／中六畢業出口</t>
        </is>
      </c>
      <c r="E120" s="77" t="inlineStr">
        <is>
          <t>EDB指定本地普通中學日校之有回應中六畢業生；按指標另註</t>
        </is>
      </c>
      <c r="F120" s="77" t="inlineStr">
        <is>
          <t>1168</t>
        </is>
      </c>
      <c r="G120" s="77" t="inlineStr">
        <is>
          <t>42204</t>
        </is>
      </c>
      <c r="H120" s="77" t="inlineStr">
        <is>
          <t>2.8</t>
        </is>
      </c>
      <c r="I120" s="77" t="inlineStr">
        <is>
          <t>%</t>
        </is>
      </c>
      <c r="J120" s="77" t="inlineStr">
        <is>
          <t>官方公布比例</t>
        </is>
      </c>
      <c r="K120" s="77" t="inlineStr">
        <is>
          <t>EDB-S6-2021</t>
        </is>
      </c>
      <c r="L120" s="77" t="inlineStr">
        <is>
          <t>PDF p.11（印刷頁6），Table 2.1</t>
        </is>
      </c>
      <c r="M120" s="77" t="inlineStr">
        <is>
          <t>保留EDB公布至小數一位的比例；不得當作終身結果。</t>
        </is>
      </c>
      <c r="N120" s="77" t="inlineStr">
        <is>
          <t>已從官方PDF逐表轉錄並經加總／視覺核對</t>
        </is>
      </c>
    </row>
    <row r="121" ht="30" customHeight="1">
      <c r="A121" s="78" t="inlineStr">
        <is>
          <t>EDB_S6_2021_T21_PART_TIME_EMPLOYMENT_STUDY_ALL_COUNT</t>
        </is>
      </c>
      <c r="B121" s="78" t="inlineStr">
        <is>
          <t>表2.1｜全體有回應畢業生｜部分時間工作／求學人數</t>
        </is>
      </c>
      <c r="C121" s="78" t="inlineStr">
        <is>
          <t>2021</t>
        </is>
      </c>
      <c r="D121" s="78" t="inlineStr">
        <is>
          <t>中學後／中六畢業出口</t>
        </is>
      </c>
      <c r="E121" s="78" t="inlineStr">
        <is>
          <t>EDB指定本地普通中學日校之有回應中六畢業生；按指標另註</t>
        </is>
      </c>
      <c r="F121" s="78" t="inlineStr">
        <is>
          <t>981</t>
        </is>
      </c>
      <c r="G121" s="78" t="inlineStr">
        <is>
          <t>42204</t>
        </is>
      </c>
      <c r="H121" s="78" t="inlineStr">
        <is>
          <t>981</t>
        </is>
      </c>
      <c r="I121" s="78" t="inlineStr">
        <is>
          <t>人</t>
        </is>
      </c>
      <c r="J121" s="78" t="inlineStr">
        <is>
          <t>官方照錄</t>
        </is>
      </c>
      <c r="K121" s="78" t="inlineStr">
        <is>
          <t>EDB-S6-2021</t>
        </is>
      </c>
      <c r="L121" s="78" t="inlineStr">
        <is>
          <t>PDF p.11（印刷頁6），Table 2.1</t>
        </is>
      </c>
      <c r="M121" s="78" t="inlineStr">
        <is>
          <t>分母為同屆全體有回應畢業生；10月快照。</t>
        </is>
      </c>
      <c r="N121" s="78" t="inlineStr">
        <is>
          <t>已從官方PDF逐表轉錄並經加總／視覺核對</t>
        </is>
      </c>
    </row>
    <row r="122" ht="30" customHeight="1">
      <c r="A122" s="77" t="inlineStr">
        <is>
          <t>EDB_S6_2021_T21_PART_TIME_EMPLOYMENT_STUDY_ALL_SHARE</t>
        </is>
      </c>
      <c r="B122" s="77" t="inlineStr">
        <is>
          <t>表2.1｜全體有回應畢業生｜部分時間工作／求學比例</t>
        </is>
      </c>
      <c r="C122" s="77" t="inlineStr">
        <is>
          <t>2021</t>
        </is>
      </c>
      <c r="D122" s="77" t="inlineStr">
        <is>
          <t>中學後／中六畢業出口</t>
        </is>
      </c>
      <c r="E122" s="77" t="inlineStr">
        <is>
          <t>EDB指定本地普通中學日校之有回應中六畢業生；按指標另註</t>
        </is>
      </c>
      <c r="F122" s="77" t="inlineStr">
        <is>
          <t>981</t>
        </is>
      </c>
      <c r="G122" s="77" t="inlineStr">
        <is>
          <t>42204</t>
        </is>
      </c>
      <c r="H122" s="77" t="inlineStr">
        <is>
          <t>2.3</t>
        </is>
      </c>
      <c r="I122" s="77" t="inlineStr">
        <is>
          <t>%</t>
        </is>
      </c>
      <c r="J122" s="77" t="inlineStr">
        <is>
          <t>官方公布比例</t>
        </is>
      </c>
      <c r="K122" s="77" t="inlineStr">
        <is>
          <t>EDB-S6-2021</t>
        </is>
      </c>
      <c r="L122" s="77" t="inlineStr">
        <is>
          <t>PDF p.11（印刷頁6），Table 2.1</t>
        </is>
      </c>
      <c r="M122" s="77" t="inlineStr">
        <is>
          <t>保留EDB公布至小數一位的比例；不得當作終身結果。</t>
        </is>
      </c>
      <c r="N122" s="77" t="inlineStr">
        <is>
          <t>已從官方PDF逐表轉錄並經加總／視覺核對</t>
        </is>
      </c>
    </row>
    <row r="123" ht="30" customHeight="1">
      <c r="A123" s="78" t="inlineStr">
        <is>
          <t>EDB_S6_2021_T21_NEITHER_EMPLOYMENT_NOR_STUDY_ALL_COUNT</t>
        </is>
      </c>
      <c r="B123" s="78" t="inlineStr">
        <is>
          <t>表2.1｜全體有回應畢業生｜既非工作亦非求學人數</t>
        </is>
      </c>
      <c r="C123" s="78" t="inlineStr">
        <is>
          <t>2021</t>
        </is>
      </c>
      <c r="D123" s="78" t="inlineStr">
        <is>
          <t>中學後／中六畢業出口</t>
        </is>
      </c>
      <c r="E123" s="78" t="inlineStr">
        <is>
          <t>EDB指定本地普通中學日校之有回應中六畢業生；按指標另註</t>
        </is>
      </c>
      <c r="F123" s="78" t="inlineStr">
        <is>
          <t>524</t>
        </is>
      </c>
      <c r="G123" s="78" t="inlineStr">
        <is>
          <t>42204</t>
        </is>
      </c>
      <c r="H123" s="78" t="inlineStr">
        <is>
          <t>524</t>
        </is>
      </c>
      <c r="I123" s="78" t="inlineStr">
        <is>
          <t>人</t>
        </is>
      </c>
      <c r="J123" s="78" t="inlineStr">
        <is>
          <t>官方照錄</t>
        </is>
      </c>
      <c r="K123" s="78" t="inlineStr">
        <is>
          <t>EDB-S6-2021</t>
        </is>
      </c>
      <c r="L123" s="78" t="inlineStr">
        <is>
          <t>PDF p.11（印刷頁6），Table 2.1</t>
        </is>
      </c>
      <c r="M123" s="78" t="inlineStr">
        <is>
          <t>分母為同屆全體有回應畢業生；10月快照。</t>
        </is>
      </c>
      <c r="N123" s="78" t="inlineStr">
        <is>
          <t>已從官方PDF逐表轉錄並經加總／視覺核對</t>
        </is>
      </c>
    </row>
    <row r="124" ht="30" customHeight="1">
      <c r="A124" s="77" t="inlineStr">
        <is>
          <t>EDB_S6_2021_T21_NEITHER_EMPLOYMENT_NOR_STUDY_ALL_SHARE</t>
        </is>
      </c>
      <c r="B124" s="77" t="inlineStr">
        <is>
          <t>表2.1｜全體有回應畢業生｜既非工作亦非求學比例</t>
        </is>
      </c>
      <c r="C124" s="77" t="inlineStr">
        <is>
          <t>2021</t>
        </is>
      </c>
      <c r="D124" s="77" t="inlineStr">
        <is>
          <t>中學後／中六畢業出口</t>
        </is>
      </c>
      <c r="E124" s="77" t="inlineStr">
        <is>
          <t>EDB指定本地普通中學日校之有回應中六畢業生；按指標另註</t>
        </is>
      </c>
      <c r="F124" s="77" t="inlineStr">
        <is>
          <t>524</t>
        </is>
      </c>
      <c r="G124" s="77" t="inlineStr">
        <is>
          <t>42204</t>
        </is>
      </c>
      <c r="H124" s="77" t="inlineStr">
        <is>
          <t>1.2</t>
        </is>
      </c>
      <c r="I124" s="77" t="inlineStr">
        <is>
          <t>%</t>
        </is>
      </c>
      <c r="J124" s="77" t="inlineStr">
        <is>
          <t>官方公布比例</t>
        </is>
      </c>
      <c r="K124" s="77" t="inlineStr">
        <is>
          <t>EDB-S6-2021</t>
        </is>
      </c>
      <c r="L124" s="77" t="inlineStr">
        <is>
          <t>PDF p.11（印刷頁6），Table 2.1</t>
        </is>
      </c>
      <c r="M124" s="77" t="inlineStr">
        <is>
          <t>保留EDB公布至小數一位的比例；不得當作終身結果。</t>
        </is>
      </c>
      <c r="N124" s="77" t="inlineStr">
        <is>
          <t>已從官方PDF逐表轉錄並經加總／視覺核對</t>
        </is>
      </c>
    </row>
    <row r="125" ht="30" customHeight="1">
      <c r="A125" s="78" t="inlineStr">
        <is>
          <t>EDB_S6_2021_T22_BACHELOR_COUNT</t>
        </is>
      </c>
      <c r="B125" s="78" t="inlineStr">
        <is>
          <t>表2.2｜全體全日制求學者｜學士學位課程人數</t>
        </is>
      </c>
      <c r="C125" s="78" t="inlineStr">
        <is>
          <t>2021</t>
        </is>
      </c>
      <c r="D125" s="78" t="inlineStr">
        <is>
          <t>中學後／中六畢業出口</t>
        </is>
      </c>
      <c r="E125" s="78" t="inlineStr">
        <is>
          <t>EDB指定本地普通中學日校之有回應中六畢業生；按指標另註</t>
        </is>
      </c>
      <c r="F125" s="78" t="inlineStr">
        <is>
          <t>19692</t>
        </is>
      </c>
      <c r="G125" s="78" t="inlineStr">
        <is>
          <t>39531</t>
        </is>
      </c>
      <c r="H125" s="78" t="inlineStr">
        <is>
          <t>19692</t>
        </is>
      </c>
      <c r="I125" s="78" t="inlineStr">
        <is>
          <t>人</t>
        </is>
      </c>
      <c r="J125" s="78" t="inlineStr">
        <is>
          <t>官方照錄</t>
        </is>
      </c>
      <c r="K125" s="78" t="inlineStr">
        <is>
          <t>EDB-S6-2021</t>
        </is>
      </c>
      <c r="L125" s="78" t="inlineStr">
        <is>
          <t>PDF p.14（印刷頁9），Table 2.2</t>
        </is>
      </c>
      <c r="M125" s="78" t="inlineStr">
        <is>
          <t>分母為全體全日制求學者；本科／專上分類包括公帑資助、自資及海外院校；不是政府資助學額或錄取率。</t>
        </is>
      </c>
      <c r="N125" s="78" t="inlineStr">
        <is>
          <t>已從官方PDF逐表轉錄並經加總／視覺核對</t>
        </is>
      </c>
    </row>
    <row r="126" ht="30" customHeight="1">
      <c r="A126" s="77" t="inlineStr">
        <is>
          <t>EDB_S6_2021_T22_BACHELOR_SHARE</t>
        </is>
      </c>
      <c r="B126" s="77" t="inlineStr">
        <is>
          <t>表2.2｜全體全日制求學者｜學士學位課程比例</t>
        </is>
      </c>
      <c r="C126" s="77" t="inlineStr">
        <is>
          <t>2021</t>
        </is>
      </c>
      <c r="D126" s="77" t="inlineStr">
        <is>
          <t>中學後／中六畢業出口</t>
        </is>
      </c>
      <c r="E126" s="77" t="inlineStr">
        <is>
          <t>EDB指定本地普通中學日校之有回應中六畢業生；按指標另註</t>
        </is>
      </c>
      <c r="F126" s="77" t="inlineStr">
        <is>
          <t>19692</t>
        </is>
      </c>
      <c r="G126" s="77" t="inlineStr">
        <is>
          <t>39531</t>
        </is>
      </c>
      <c r="H126" s="77" t="inlineStr">
        <is>
          <t>49.8</t>
        </is>
      </c>
      <c r="I126" s="77" t="inlineStr">
        <is>
          <t>%</t>
        </is>
      </c>
      <c r="J126" s="77" t="inlineStr">
        <is>
          <t>官方公布比例</t>
        </is>
      </c>
      <c r="K126" s="77" t="inlineStr">
        <is>
          <t>EDB-S6-2021</t>
        </is>
      </c>
      <c r="L126" s="77" t="inlineStr">
        <is>
          <t>PDF p.14（印刷頁9），Table 2.2</t>
        </is>
      </c>
      <c r="M126" s="77" t="inlineStr">
        <is>
          <t>分母為全體全日制求學者；本科／專上分類包括公帑資助、自資及海外院校；不是政府資助學額或錄取率。</t>
        </is>
      </c>
      <c r="N126" s="77" t="inlineStr">
        <is>
          <t>已從官方PDF逐表轉錄並經加總／視覺核對</t>
        </is>
      </c>
    </row>
    <row r="127" ht="30" customHeight="1">
      <c r="A127" s="78" t="inlineStr">
        <is>
          <t>EDB_S6_2021_T22_POSTSECONDARY_COUNT</t>
        </is>
      </c>
      <c r="B127" s="78" t="inlineStr">
        <is>
          <t>表2.2｜全體全日制求學者｜專上課程（副學士／高級文憑）人數</t>
        </is>
      </c>
      <c r="C127" s="78" t="inlineStr">
        <is>
          <t>2021</t>
        </is>
      </c>
      <c r="D127" s="78" t="inlineStr">
        <is>
          <t>中學後／中六畢業出口</t>
        </is>
      </c>
      <c r="E127" s="78" t="inlineStr">
        <is>
          <t>EDB指定本地普通中學日校之有回應中六畢業生；按指標另註</t>
        </is>
      </c>
      <c r="F127" s="78" t="inlineStr">
        <is>
          <t>11869</t>
        </is>
      </c>
      <c r="G127" s="78" t="inlineStr">
        <is>
          <t>39531</t>
        </is>
      </c>
      <c r="H127" s="78" t="inlineStr">
        <is>
          <t>11869</t>
        </is>
      </c>
      <c r="I127" s="78" t="inlineStr">
        <is>
          <t>人</t>
        </is>
      </c>
      <c r="J127" s="78" t="inlineStr">
        <is>
          <t>官方照錄</t>
        </is>
      </c>
      <c r="K127" s="78" t="inlineStr">
        <is>
          <t>EDB-S6-2021</t>
        </is>
      </c>
      <c r="L127" s="78" t="inlineStr">
        <is>
          <t>PDF p.14（印刷頁9），Table 2.2</t>
        </is>
      </c>
      <c r="M127" s="78" t="inlineStr">
        <is>
          <t>分母為全體全日制求學者；本科／專上分類包括公帑資助、自資及海外院校；不是政府資助學額或錄取率。</t>
        </is>
      </c>
      <c r="N127" s="78" t="inlineStr">
        <is>
          <t>已從官方PDF逐表轉錄並經加總／視覺核對</t>
        </is>
      </c>
    </row>
    <row r="128" ht="30" customHeight="1">
      <c r="A128" s="77" t="inlineStr">
        <is>
          <t>EDB_S6_2021_T22_POSTSECONDARY_SHARE</t>
        </is>
      </c>
      <c r="B128" s="77" t="inlineStr">
        <is>
          <t>表2.2｜全體全日制求學者｜專上課程（副學士／高級文憑）比例</t>
        </is>
      </c>
      <c r="C128" s="77" t="inlineStr">
        <is>
          <t>2021</t>
        </is>
      </c>
      <c r="D128" s="77" t="inlineStr">
        <is>
          <t>中學後／中六畢業出口</t>
        </is>
      </c>
      <c r="E128" s="77" t="inlineStr">
        <is>
          <t>EDB指定本地普通中學日校之有回應中六畢業生；按指標另註</t>
        </is>
      </c>
      <c r="F128" s="77" t="inlineStr">
        <is>
          <t>11869</t>
        </is>
      </c>
      <c r="G128" s="77" t="inlineStr">
        <is>
          <t>39531</t>
        </is>
      </c>
      <c r="H128" s="77" t="inlineStr">
        <is>
          <t>30.0</t>
        </is>
      </c>
      <c r="I128" s="77" t="inlineStr">
        <is>
          <t>%</t>
        </is>
      </c>
      <c r="J128" s="77" t="inlineStr">
        <is>
          <t>官方公布比例</t>
        </is>
      </c>
      <c r="K128" s="77" t="inlineStr">
        <is>
          <t>EDB-S6-2021</t>
        </is>
      </c>
      <c r="L128" s="77" t="inlineStr">
        <is>
          <t>PDF p.14（印刷頁9），Table 2.2</t>
        </is>
      </c>
      <c r="M128" s="77" t="inlineStr">
        <is>
          <t>分母為全體全日制求學者；本科／專上分類包括公帑資助、自資及海外院校；不是政府資助學額或錄取率。</t>
        </is>
      </c>
      <c r="N128" s="77" t="inlineStr">
        <is>
          <t>已從官方PDF逐表轉錄並經加總／視覺核對</t>
        </is>
      </c>
    </row>
    <row r="129" ht="30" customHeight="1">
      <c r="A129" s="78" t="inlineStr">
        <is>
          <t>EDB_S6_2021_T22_OTHER_FULL_TIME_COUNT</t>
        </is>
      </c>
      <c r="B129" s="78" t="inlineStr">
        <is>
          <t>表2.2｜全體全日制求學者｜其他全日制課程人數</t>
        </is>
      </c>
      <c r="C129" s="78" t="inlineStr">
        <is>
          <t>2021</t>
        </is>
      </c>
      <c r="D129" s="78" t="inlineStr">
        <is>
          <t>中學後／中六畢業出口</t>
        </is>
      </c>
      <c r="E129" s="78" t="inlineStr">
        <is>
          <t>EDB指定本地普通中學日校之有回應中六畢業生；按指標另註</t>
        </is>
      </c>
      <c r="F129" s="78" t="inlineStr">
        <is>
          <t>7792</t>
        </is>
      </c>
      <c r="G129" s="78" t="inlineStr">
        <is>
          <t>39531</t>
        </is>
      </c>
      <c r="H129" s="78" t="inlineStr">
        <is>
          <t>7792</t>
        </is>
      </c>
      <c r="I129" s="78" t="inlineStr">
        <is>
          <t>人</t>
        </is>
      </c>
      <c r="J129" s="78" t="inlineStr">
        <is>
          <t>官方照錄</t>
        </is>
      </c>
      <c r="K129" s="78" t="inlineStr">
        <is>
          <t>EDB-S6-2021</t>
        </is>
      </c>
      <c r="L129" s="78" t="inlineStr">
        <is>
          <t>PDF p.14（印刷頁9），Table 2.2</t>
        </is>
      </c>
      <c r="M129" s="78" t="inlineStr">
        <is>
          <t>分母為全體全日制求學者；其他全日制課程跨2021–22及2023–25不宜直接作嚴格同比，詳見分類crosswalk。</t>
        </is>
      </c>
      <c r="N129" s="78" t="inlineStr">
        <is>
          <t>已從官方PDF逐表轉錄並經加總／視覺核對</t>
        </is>
      </c>
    </row>
    <row r="130" ht="30" customHeight="1">
      <c r="A130" s="77" t="inlineStr">
        <is>
          <t>EDB_S6_2021_T22_OTHER_FULL_TIME_SHARE</t>
        </is>
      </c>
      <c r="B130" s="77" t="inlineStr">
        <is>
          <t>表2.2｜全體全日制求學者｜其他全日制課程比例</t>
        </is>
      </c>
      <c r="C130" s="77" t="inlineStr">
        <is>
          <t>2021</t>
        </is>
      </c>
      <c r="D130" s="77" t="inlineStr">
        <is>
          <t>中學後／中六畢業出口</t>
        </is>
      </c>
      <c r="E130" s="77" t="inlineStr">
        <is>
          <t>EDB指定本地普通中學日校之有回應中六畢業生；按指標另註</t>
        </is>
      </c>
      <c r="F130" s="77" t="inlineStr">
        <is>
          <t>7792</t>
        </is>
      </c>
      <c r="G130" s="77" t="inlineStr">
        <is>
          <t>39531</t>
        </is>
      </c>
      <c r="H130" s="77" t="inlineStr">
        <is>
          <t>19.7</t>
        </is>
      </c>
      <c r="I130" s="77" t="inlineStr">
        <is>
          <t>%</t>
        </is>
      </c>
      <c r="J130" s="77" t="inlineStr">
        <is>
          <t>官方公布比例</t>
        </is>
      </c>
      <c r="K130" s="77" t="inlineStr">
        <is>
          <t>EDB-S6-2021</t>
        </is>
      </c>
      <c r="L130" s="77" t="inlineStr">
        <is>
          <t>PDF p.14（印刷頁9），Table 2.2</t>
        </is>
      </c>
      <c r="M130" s="77" t="inlineStr">
        <is>
          <t>分母為全體全日制求學者；其他全日制課程跨2021–22及2023–25不宜直接作嚴格同比，詳見分類crosswalk。</t>
        </is>
      </c>
      <c r="N130" s="77" t="inlineStr">
        <is>
          <t>已從官方PDF逐表轉錄並經加總／視覺核對</t>
        </is>
      </c>
    </row>
    <row r="131" ht="30" customHeight="1">
      <c r="A131" s="78" t="inlineStr">
        <is>
          <t>EDB_S6_2021_T22_SECONDARY_6_COURSE_COUNT</t>
        </is>
      </c>
      <c r="B131" s="78" t="inlineStr">
        <is>
          <t>表2.2｜全體全日制求學者｜中六課程人數</t>
        </is>
      </c>
      <c r="C131" s="78" t="inlineStr">
        <is>
          <t>2021</t>
        </is>
      </c>
      <c r="D131" s="78" t="inlineStr">
        <is>
          <t>中學後／中六畢業出口</t>
        </is>
      </c>
      <c r="E131" s="78" t="inlineStr">
        <is>
          <t>EDB指定本地普通中學日校之有回應中六畢業生；按指標另註</t>
        </is>
      </c>
      <c r="F131" s="78" t="inlineStr">
        <is>
          <t>178</t>
        </is>
      </c>
      <c r="G131" s="78" t="inlineStr">
        <is>
          <t>39531</t>
        </is>
      </c>
      <c r="H131" s="78" t="inlineStr">
        <is>
          <t>178</t>
        </is>
      </c>
      <c r="I131" s="78" t="inlineStr">
        <is>
          <t>人</t>
        </is>
      </c>
      <c r="J131" s="78" t="inlineStr">
        <is>
          <t>官方照錄</t>
        </is>
      </c>
      <c r="K131" s="78" t="inlineStr">
        <is>
          <t>EDB-S6-2021</t>
        </is>
      </c>
      <c r="L131" s="78" t="inlineStr">
        <is>
          <t>PDF p.14（印刷頁9），Table 2.2</t>
        </is>
      </c>
      <c r="M131" s="78" t="inlineStr">
        <is>
          <t>分母為全體全日制求學者；本科／專上分類包括公帑資助、自資及海外院校；不是政府資助學額或錄取率。</t>
        </is>
      </c>
      <c r="N131" s="78" t="inlineStr">
        <is>
          <t>已從官方PDF逐表轉錄並經加總／視覺核對</t>
        </is>
      </c>
    </row>
    <row r="132" ht="30" customHeight="1">
      <c r="A132" s="77" t="inlineStr">
        <is>
          <t>EDB_S6_2021_T22_SECONDARY_6_COURSE_SHARE</t>
        </is>
      </c>
      <c r="B132" s="77" t="inlineStr">
        <is>
          <t>表2.2｜全體全日制求學者｜中六課程比例</t>
        </is>
      </c>
      <c r="C132" s="77" t="inlineStr">
        <is>
          <t>2021</t>
        </is>
      </c>
      <c r="D132" s="77" t="inlineStr">
        <is>
          <t>中學後／中六畢業出口</t>
        </is>
      </c>
      <c r="E132" s="77" t="inlineStr">
        <is>
          <t>EDB指定本地普通中學日校之有回應中六畢業生；按指標另註</t>
        </is>
      </c>
      <c r="F132" s="77" t="inlineStr">
        <is>
          <t>178</t>
        </is>
      </c>
      <c r="G132" s="77" t="inlineStr">
        <is>
          <t>39531</t>
        </is>
      </c>
      <c r="H132" s="77" t="inlineStr">
        <is>
          <t>0.5</t>
        </is>
      </c>
      <c r="I132" s="77" t="inlineStr">
        <is>
          <t>%</t>
        </is>
      </c>
      <c r="J132" s="77" t="inlineStr">
        <is>
          <t>官方公布比例</t>
        </is>
      </c>
      <c r="K132" s="77" t="inlineStr">
        <is>
          <t>EDB-S6-2021</t>
        </is>
      </c>
      <c r="L132" s="77" t="inlineStr">
        <is>
          <t>PDF p.14（印刷頁9），Table 2.2</t>
        </is>
      </c>
      <c r="M132" s="77" t="inlineStr">
        <is>
          <t>分母為全體全日制求學者；本科／專上分類包括公帑資助、自資及海外院校；不是政府資助學額或錄取率。</t>
        </is>
      </c>
      <c r="N132" s="77" t="inlineStr">
        <is>
          <t>已從官方PDF逐表轉錄並經加總／視覺核對</t>
        </is>
      </c>
    </row>
    <row r="133" ht="30" customHeight="1">
      <c r="A133" s="78" t="inlineStr">
        <is>
          <t>EDB_S6_2021_CHART25_OUTSIDE_HK_COUNT</t>
        </is>
      </c>
      <c r="B133" s="78" t="inlineStr">
        <is>
          <t>Chart 2.5｜香港以外全日制求學人數</t>
        </is>
      </c>
      <c r="C133" s="78" t="inlineStr">
        <is>
          <t>2021</t>
        </is>
      </c>
      <c r="D133" s="78" t="inlineStr">
        <is>
          <t>中學後／中六畢業出口</t>
        </is>
      </c>
      <c r="E133" s="78" t="inlineStr">
        <is>
          <t>EDB指定本地普通中學日校之有回應中六畢業生；按指標另註</t>
        </is>
      </c>
      <c r="F133" s="78" t="inlineStr">
        <is>
          <t>5645</t>
        </is>
      </c>
      <c r="G133" s="78" t="inlineStr">
        <is>
          <t>39531</t>
        </is>
      </c>
      <c r="H133" s="78" t="inlineStr">
        <is>
          <t>5645</t>
        </is>
      </c>
      <c r="I133" s="78" t="inlineStr">
        <is>
          <t>人</t>
        </is>
      </c>
      <c r="J133" s="78" t="inlineStr">
        <is>
          <t>官方照錄</t>
        </is>
      </c>
      <c r="K133" s="78" t="inlineStr">
        <is>
          <t>EDB-S6-2021</t>
        </is>
      </c>
      <c r="L133" s="78" t="inlineStr">
        <is>
          <t>PDF p.16（印刷頁11），Chart 2.5</t>
        </is>
      </c>
      <c r="M133" s="78" t="inlineStr">
        <is>
          <t>分母為同屆全日制求學者；只代表10月調查狀況。</t>
        </is>
      </c>
      <c r="N133" s="78" t="inlineStr">
        <is>
          <t>已從官方PDF逐表轉錄並經加總／視覺核對</t>
        </is>
      </c>
    </row>
    <row r="134" ht="30" customHeight="1">
      <c r="A134" s="77" t="inlineStr">
        <is>
          <t>EDB_S6_2021_CHART25_OUTSIDE_HK_SHARE</t>
        </is>
      </c>
      <c r="B134" s="77" t="inlineStr">
        <is>
          <t>Chart 2.5｜香港以外全日制求學比例</t>
        </is>
      </c>
      <c r="C134" s="77" t="inlineStr">
        <is>
          <t>2021</t>
        </is>
      </c>
      <c r="D134" s="77" t="inlineStr">
        <is>
          <t>中學後／中六畢業出口</t>
        </is>
      </c>
      <c r="E134" s="77" t="inlineStr">
        <is>
          <t>EDB指定本地普通中學日校之有回應中六畢業生；按指標另註</t>
        </is>
      </c>
      <c r="F134" s="77" t="inlineStr">
        <is>
          <t>5645</t>
        </is>
      </c>
      <c r="G134" s="77" t="inlineStr">
        <is>
          <t>39531</t>
        </is>
      </c>
      <c r="H134" s="77" t="inlineStr">
        <is>
          <t>14.3</t>
        </is>
      </c>
      <c r="I134" s="77" t="inlineStr">
        <is>
          <t>%</t>
        </is>
      </c>
      <c r="J134" s="77" t="inlineStr">
        <is>
          <t>官方公布比例</t>
        </is>
      </c>
      <c r="K134" s="77" t="inlineStr">
        <is>
          <t>EDB-S6-2021</t>
        </is>
      </c>
      <c r="L134" s="77" t="inlineStr">
        <is>
          <t>PDF p.16（印刷頁11），Chart 2.5</t>
        </is>
      </c>
      <c r="M134" s="77" t="inlineStr">
        <is>
          <t>分母為同屆全日制求學者；只代表10月調查狀況。</t>
        </is>
      </c>
      <c r="N134" s="77" t="inlineStr">
        <is>
          <t>已從官方PDF逐表轉錄並經加總／視覺核對</t>
        </is>
      </c>
    </row>
    <row r="135" ht="30" customHeight="1">
      <c r="A135" s="78" t="inlineStr">
        <is>
          <t>EDB_S6_2021_CHART25_HONG_KONG_COUNT</t>
        </is>
      </c>
      <c r="B135" s="78" t="inlineStr">
        <is>
          <t>Chart 2.5｜香港全日制求學人數</t>
        </is>
      </c>
      <c r="C135" s="78" t="inlineStr">
        <is>
          <t>2021</t>
        </is>
      </c>
      <c r="D135" s="78" t="inlineStr">
        <is>
          <t>中學後／中六畢業出口</t>
        </is>
      </c>
      <c r="E135" s="78" t="inlineStr">
        <is>
          <t>EDB指定本地普通中學日校之有回應中六畢業生；按指標另註</t>
        </is>
      </c>
      <c r="F135" s="78" t="inlineStr">
        <is>
          <t>33886</t>
        </is>
      </c>
      <c r="G135" s="78" t="inlineStr">
        <is>
          <t>39531</t>
        </is>
      </c>
      <c r="H135" s="78" t="inlineStr">
        <is>
          <t>33886</t>
        </is>
      </c>
      <c r="I135" s="78" t="inlineStr">
        <is>
          <t>人</t>
        </is>
      </c>
      <c r="J135" s="78" t="inlineStr">
        <is>
          <t>官方照錄</t>
        </is>
      </c>
      <c r="K135" s="78" t="inlineStr">
        <is>
          <t>EDB-S6-2021</t>
        </is>
      </c>
      <c r="L135" s="78" t="inlineStr">
        <is>
          <t>PDF p.16（印刷頁11），Chart 2.5</t>
        </is>
      </c>
      <c r="M135" s="78" t="inlineStr">
        <is>
          <t>分母為同屆全日制求學者；只代表10月調查狀況。</t>
        </is>
      </c>
      <c r="N135" s="78" t="inlineStr">
        <is>
          <t>已從官方PDF逐表轉錄並經加總／視覺核對</t>
        </is>
      </c>
    </row>
    <row r="136" ht="30" customHeight="1">
      <c r="A136" s="77" t="inlineStr">
        <is>
          <t>EDB_S6_2021_CHART25_HONG_KONG_SHARE</t>
        </is>
      </c>
      <c r="B136" s="77" t="inlineStr">
        <is>
          <t>Chart 2.5｜香港全日制求學比例</t>
        </is>
      </c>
      <c r="C136" s="77" t="inlineStr">
        <is>
          <t>2021</t>
        </is>
      </c>
      <c r="D136" s="77" t="inlineStr">
        <is>
          <t>中學後／中六畢業出口</t>
        </is>
      </c>
      <c r="E136" s="77" t="inlineStr">
        <is>
          <t>EDB指定本地普通中學日校之有回應中六畢業生；按指標另註</t>
        </is>
      </c>
      <c r="F136" s="77" t="inlineStr">
        <is>
          <t>33886</t>
        </is>
      </c>
      <c r="G136" s="77" t="inlineStr">
        <is>
          <t>39531</t>
        </is>
      </c>
      <c r="H136" s="77" t="inlineStr">
        <is>
          <t>85.7</t>
        </is>
      </c>
      <c r="I136" s="77" t="inlineStr">
        <is>
          <t>%</t>
        </is>
      </c>
      <c r="J136" s="77" t="inlineStr">
        <is>
          <t>官方公布比例</t>
        </is>
      </c>
      <c r="K136" s="77" t="inlineStr">
        <is>
          <t>EDB-S6-2021</t>
        </is>
      </c>
      <c r="L136" s="77" t="inlineStr">
        <is>
          <t>PDF p.16（印刷頁11），Chart 2.5</t>
        </is>
      </c>
      <c r="M136" s="77" t="inlineStr">
        <is>
          <t>分母為同屆全日制求學者；只代表10月調查狀況。</t>
        </is>
      </c>
      <c r="N136" s="77" t="inlineStr">
        <is>
          <t>已從官方PDF逐表轉錄並經加總／視覺核對</t>
        </is>
      </c>
    </row>
    <row r="137" ht="30" customHeight="1">
      <c r="A137" s="78" t="inlineStr">
        <is>
          <t>EDB_S6_2021_T23_MAINLAND_COUNT</t>
        </is>
      </c>
      <c r="B137" s="78" t="inlineStr">
        <is>
          <t>表2.3｜中國內地全日制升學人數</t>
        </is>
      </c>
      <c r="C137" s="78" t="inlineStr">
        <is>
          <t>2021</t>
        </is>
      </c>
      <c r="D137" s="78" t="inlineStr">
        <is>
          <t>中學後／中六畢業出口</t>
        </is>
      </c>
      <c r="E137" s="78" t="inlineStr">
        <is>
          <t>EDB指定本地普通中學日校之有回應中六畢業生；按指標另註</t>
        </is>
      </c>
      <c r="F137" s="78" t="inlineStr">
        <is>
          <t>1985</t>
        </is>
      </c>
      <c r="G137" s="78" t="inlineStr">
        <is>
          <t>5645</t>
        </is>
      </c>
      <c r="H137" s="78" t="inlineStr">
        <is>
          <t>1985</t>
        </is>
      </c>
      <c r="I137" s="78" t="inlineStr">
        <is>
          <t>人</t>
        </is>
      </c>
      <c r="J137" s="78" t="inlineStr">
        <is>
          <t>官方照錄</t>
        </is>
      </c>
      <c r="K137" s="78" t="inlineStr">
        <is>
          <t>EDB-S6-2021</t>
        </is>
      </c>
      <c r="L137" s="78" t="inlineStr">
        <is>
          <t>PDF p.19（印刷頁14），Table 2.3</t>
        </is>
      </c>
      <c r="M137" s="78" t="inlineStr">
        <is>
          <t>分母為全體境外全日制求學者；不是全部S6畢業生。</t>
        </is>
      </c>
      <c r="N137" s="78" t="inlineStr">
        <is>
          <t>已從官方PDF逐表轉錄並經加總／視覺核對</t>
        </is>
      </c>
    </row>
    <row r="138" ht="30" customHeight="1">
      <c r="A138" s="77" t="inlineStr">
        <is>
          <t>EDB_S6_2021_T23_MAINLAND_SHARE</t>
        </is>
      </c>
      <c r="B138" s="77" t="inlineStr">
        <is>
          <t>表2.3｜中國內地佔境外升學者比例</t>
        </is>
      </c>
      <c r="C138" s="77" t="inlineStr">
        <is>
          <t>2021</t>
        </is>
      </c>
      <c r="D138" s="77" t="inlineStr">
        <is>
          <t>中學後／中六畢業出口</t>
        </is>
      </c>
      <c r="E138" s="77" t="inlineStr">
        <is>
          <t>EDB指定本地普通中學日校之有回應中六畢業生；按指標另註</t>
        </is>
      </c>
      <c r="F138" s="77" t="inlineStr">
        <is>
          <t>1985</t>
        </is>
      </c>
      <c r="G138" s="77" t="inlineStr">
        <is>
          <t>5645</t>
        </is>
      </c>
      <c r="H138" s="77" t="inlineStr">
        <is>
          <t>35.2</t>
        </is>
      </c>
      <c r="I138" s="77" t="inlineStr">
        <is>
          <t>%</t>
        </is>
      </c>
      <c r="J138" s="77" t="inlineStr">
        <is>
          <t>官方公布比例</t>
        </is>
      </c>
      <c r="K138" s="77" t="inlineStr">
        <is>
          <t>EDB-S6-2021</t>
        </is>
      </c>
      <c r="L138" s="77" t="inlineStr">
        <is>
          <t>PDF p.19（印刷頁14），Table 2.3</t>
        </is>
      </c>
      <c r="M138" s="77" t="inlineStr">
        <is>
          <t>分母為全體境外全日制求學者；不可解讀成全體畢業生比例。</t>
        </is>
      </c>
      <c r="N138" s="77" t="inlineStr">
        <is>
          <t>已從官方PDF逐表轉錄並經加總／視覺核對</t>
        </is>
      </c>
    </row>
    <row r="139" ht="30" customHeight="1">
      <c r="A139" s="78" t="inlineStr">
        <is>
          <t>EDB_S6_2021_T23_TAIWAN_COUNT</t>
        </is>
      </c>
      <c r="B139" s="78" t="inlineStr">
        <is>
          <t>表2.3｜台灣全日制升學人數</t>
        </is>
      </c>
      <c r="C139" s="78" t="inlineStr">
        <is>
          <t>2021</t>
        </is>
      </c>
      <c r="D139" s="78" t="inlineStr">
        <is>
          <t>中學後／中六畢業出口</t>
        </is>
      </c>
      <c r="E139" s="78" t="inlineStr">
        <is>
          <t>EDB指定本地普通中學日校之有回應中六畢業生；按指標另註</t>
        </is>
      </c>
      <c r="F139" s="78" t="inlineStr">
        <is>
          <t>1252</t>
        </is>
      </c>
      <c r="G139" s="78" t="inlineStr">
        <is>
          <t>5645</t>
        </is>
      </c>
      <c r="H139" s="78" t="inlineStr">
        <is>
          <t>1252</t>
        </is>
      </c>
      <c r="I139" s="78" t="inlineStr">
        <is>
          <t>人</t>
        </is>
      </c>
      <c r="J139" s="78" t="inlineStr">
        <is>
          <t>官方照錄</t>
        </is>
      </c>
      <c r="K139" s="78" t="inlineStr">
        <is>
          <t>EDB-S6-2021</t>
        </is>
      </c>
      <c r="L139" s="78" t="inlineStr">
        <is>
          <t>PDF p.19（印刷頁14），Table 2.3</t>
        </is>
      </c>
      <c r="M139" s="78" t="inlineStr">
        <is>
          <t>分母為全體境外全日制求學者；不是全部S6畢業生。</t>
        </is>
      </c>
      <c r="N139" s="78" t="inlineStr">
        <is>
          <t>已從官方PDF逐表轉錄並經加總／視覺核對</t>
        </is>
      </c>
    </row>
    <row r="140" ht="30" customHeight="1">
      <c r="A140" s="77" t="inlineStr">
        <is>
          <t>EDB_S6_2021_T23_TAIWAN_SHARE</t>
        </is>
      </c>
      <c r="B140" s="77" t="inlineStr">
        <is>
          <t>表2.3｜台灣佔境外升學者比例</t>
        </is>
      </c>
      <c r="C140" s="77" t="inlineStr">
        <is>
          <t>2021</t>
        </is>
      </c>
      <c r="D140" s="77" t="inlineStr">
        <is>
          <t>中學後／中六畢業出口</t>
        </is>
      </c>
      <c r="E140" s="77" t="inlineStr">
        <is>
          <t>EDB指定本地普通中學日校之有回應中六畢業生；按指標另註</t>
        </is>
      </c>
      <c r="F140" s="77" t="inlineStr">
        <is>
          <t>1252</t>
        </is>
      </c>
      <c r="G140" s="77" t="inlineStr">
        <is>
          <t>5645</t>
        </is>
      </c>
      <c r="H140" s="77" t="inlineStr">
        <is>
          <t>22.2</t>
        </is>
      </c>
      <c r="I140" s="77" t="inlineStr">
        <is>
          <t>%</t>
        </is>
      </c>
      <c r="J140" s="77" t="inlineStr">
        <is>
          <t>官方公布比例</t>
        </is>
      </c>
      <c r="K140" s="77" t="inlineStr">
        <is>
          <t>EDB-S6-2021</t>
        </is>
      </c>
      <c r="L140" s="77" t="inlineStr">
        <is>
          <t>PDF p.19（印刷頁14），Table 2.3</t>
        </is>
      </c>
      <c r="M140" s="77" t="inlineStr">
        <is>
          <t>分母為全體境外全日制求學者；不可解讀成全體畢業生比例。</t>
        </is>
      </c>
      <c r="N140" s="77" t="inlineStr">
        <is>
          <t>已從官方PDF逐表轉錄並經加總／視覺核對</t>
        </is>
      </c>
    </row>
    <row r="141" ht="30" customHeight="1">
      <c r="A141" s="78" t="inlineStr">
        <is>
          <t>EDB_S6_2021_T23_UK_COUNT</t>
        </is>
      </c>
      <c r="B141" s="78" t="inlineStr">
        <is>
          <t>表2.3｜英國全日制升學人數</t>
        </is>
      </c>
      <c r="C141" s="78" t="inlineStr">
        <is>
          <t>2021</t>
        </is>
      </c>
      <c r="D141" s="78" t="inlineStr">
        <is>
          <t>中學後／中六畢業出口</t>
        </is>
      </c>
      <c r="E141" s="78" t="inlineStr">
        <is>
          <t>EDB指定本地普通中學日校之有回應中六畢業生；按指標另註</t>
        </is>
      </c>
      <c r="F141" s="78" t="inlineStr">
        <is>
          <t>1233</t>
        </is>
      </c>
      <c r="G141" s="78" t="inlineStr">
        <is>
          <t>5645</t>
        </is>
      </c>
      <c r="H141" s="78" t="inlineStr">
        <is>
          <t>1233</t>
        </is>
      </c>
      <c r="I141" s="78" t="inlineStr">
        <is>
          <t>人</t>
        </is>
      </c>
      <c r="J141" s="78" t="inlineStr">
        <is>
          <t>官方照錄</t>
        </is>
      </c>
      <c r="K141" s="78" t="inlineStr">
        <is>
          <t>EDB-S6-2021</t>
        </is>
      </c>
      <c r="L141" s="78" t="inlineStr">
        <is>
          <t>PDF p.19（印刷頁14），Table 2.3</t>
        </is>
      </c>
      <c r="M141" s="78" t="inlineStr">
        <is>
          <t>分母為全體境外全日制求學者；不是全部S6畢業生。</t>
        </is>
      </c>
      <c r="N141" s="78" t="inlineStr">
        <is>
          <t>已從官方PDF逐表轉錄並經加總／視覺核對</t>
        </is>
      </c>
    </row>
    <row r="142" ht="30" customHeight="1">
      <c r="A142" s="77" t="inlineStr">
        <is>
          <t>EDB_S6_2021_T23_UK_SHARE</t>
        </is>
      </c>
      <c r="B142" s="77" t="inlineStr">
        <is>
          <t>表2.3｜英國佔境外升學者比例</t>
        </is>
      </c>
      <c r="C142" s="77" t="inlineStr">
        <is>
          <t>2021</t>
        </is>
      </c>
      <c r="D142" s="77" t="inlineStr">
        <is>
          <t>中學後／中六畢業出口</t>
        </is>
      </c>
      <c r="E142" s="77" t="inlineStr">
        <is>
          <t>EDB指定本地普通中學日校之有回應中六畢業生；按指標另註</t>
        </is>
      </c>
      <c r="F142" s="77" t="inlineStr">
        <is>
          <t>1233</t>
        </is>
      </c>
      <c r="G142" s="77" t="inlineStr">
        <is>
          <t>5645</t>
        </is>
      </c>
      <c r="H142" s="77" t="inlineStr">
        <is>
          <t>21.8</t>
        </is>
      </c>
      <c r="I142" s="77" t="inlineStr">
        <is>
          <t>%</t>
        </is>
      </c>
      <c r="J142" s="77" t="inlineStr">
        <is>
          <t>官方公布比例</t>
        </is>
      </c>
      <c r="K142" s="77" t="inlineStr">
        <is>
          <t>EDB-S6-2021</t>
        </is>
      </c>
      <c r="L142" s="77" t="inlineStr">
        <is>
          <t>PDF p.19（印刷頁14），Table 2.3</t>
        </is>
      </c>
      <c r="M142" s="77" t="inlineStr">
        <is>
          <t>分母為全體境外全日制求學者；不可解讀成全體畢業生比例。</t>
        </is>
      </c>
      <c r="N142" s="77" t="inlineStr">
        <is>
          <t>已從官方PDF逐表轉錄並經加總／視覺核對</t>
        </is>
      </c>
    </row>
    <row r="143" ht="30" customHeight="1">
      <c r="A143" s="78" t="inlineStr">
        <is>
          <t>EDB_S6_2021_T23_AUSTRALIA_COUNT</t>
        </is>
      </c>
      <c r="B143" s="78" t="inlineStr">
        <is>
          <t>表2.3｜澳洲全日制升學人數</t>
        </is>
      </c>
      <c r="C143" s="78" t="inlineStr">
        <is>
          <t>2021</t>
        </is>
      </c>
      <c r="D143" s="78" t="inlineStr">
        <is>
          <t>中學後／中六畢業出口</t>
        </is>
      </c>
      <c r="E143" s="78" t="inlineStr">
        <is>
          <t>EDB指定本地普通中學日校之有回應中六畢業生；按指標另註</t>
        </is>
      </c>
      <c r="F143" s="78" t="inlineStr">
        <is>
          <t>422</t>
        </is>
      </c>
      <c r="G143" s="78" t="inlineStr">
        <is>
          <t>5645</t>
        </is>
      </c>
      <c r="H143" s="78" t="inlineStr">
        <is>
          <t>422</t>
        </is>
      </c>
      <c r="I143" s="78" t="inlineStr">
        <is>
          <t>人</t>
        </is>
      </c>
      <c r="J143" s="78" t="inlineStr">
        <is>
          <t>官方照錄</t>
        </is>
      </c>
      <c r="K143" s="78" t="inlineStr">
        <is>
          <t>EDB-S6-2021</t>
        </is>
      </c>
      <c r="L143" s="78" t="inlineStr">
        <is>
          <t>PDF p.19（印刷頁14），Table 2.3</t>
        </is>
      </c>
      <c r="M143" s="78" t="inlineStr">
        <is>
          <t>分母為全體境外全日制求學者；不是全部S6畢業生。</t>
        </is>
      </c>
      <c r="N143" s="78" t="inlineStr">
        <is>
          <t>已從官方PDF逐表轉錄並經加總／視覺核對</t>
        </is>
      </c>
    </row>
    <row r="144" ht="30" customHeight="1">
      <c r="A144" s="77" t="inlineStr">
        <is>
          <t>EDB_S6_2021_T23_AUSTRALIA_SHARE</t>
        </is>
      </c>
      <c r="B144" s="77" t="inlineStr">
        <is>
          <t>表2.3｜澳洲佔境外升學者比例</t>
        </is>
      </c>
      <c r="C144" s="77" t="inlineStr">
        <is>
          <t>2021</t>
        </is>
      </c>
      <c r="D144" s="77" t="inlineStr">
        <is>
          <t>中學後／中六畢業出口</t>
        </is>
      </c>
      <c r="E144" s="77" t="inlineStr">
        <is>
          <t>EDB指定本地普通中學日校之有回應中六畢業生；按指標另註</t>
        </is>
      </c>
      <c r="F144" s="77" t="inlineStr">
        <is>
          <t>422</t>
        </is>
      </c>
      <c r="G144" s="77" t="inlineStr">
        <is>
          <t>5645</t>
        </is>
      </c>
      <c r="H144" s="77" t="inlineStr">
        <is>
          <t>7.5</t>
        </is>
      </c>
      <c r="I144" s="77" t="inlineStr">
        <is>
          <t>%</t>
        </is>
      </c>
      <c r="J144" s="77" t="inlineStr">
        <is>
          <t>官方公布比例</t>
        </is>
      </c>
      <c r="K144" s="77" t="inlineStr">
        <is>
          <t>EDB-S6-2021</t>
        </is>
      </c>
      <c r="L144" s="77" t="inlineStr">
        <is>
          <t>PDF p.19（印刷頁14），Table 2.3</t>
        </is>
      </c>
      <c r="M144" s="77" t="inlineStr">
        <is>
          <t>分母為全體境外全日制求學者；不可解讀成全體畢業生比例。</t>
        </is>
      </c>
      <c r="N144" s="77" t="inlineStr">
        <is>
          <t>已從官方PDF逐表轉錄並經加總／視覺核對</t>
        </is>
      </c>
    </row>
    <row r="145" ht="30" customHeight="1">
      <c r="A145" s="78" t="inlineStr">
        <is>
          <t>EDB_S6_2021_T23_CANADA_COUNT</t>
        </is>
      </c>
      <c r="B145" s="78" t="inlineStr">
        <is>
          <t>表2.3｜加拿大全日制升學人數</t>
        </is>
      </c>
      <c r="C145" s="78" t="inlineStr">
        <is>
          <t>2021</t>
        </is>
      </c>
      <c r="D145" s="78" t="inlineStr">
        <is>
          <t>中學後／中六畢業出口</t>
        </is>
      </c>
      <c r="E145" s="78" t="inlineStr">
        <is>
          <t>EDB指定本地普通中學日校之有回應中六畢業生；按指標另註</t>
        </is>
      </c>
      <c r="F145" s="78" t="inlineStr">
        <is>
          <t>305</t>
        </is>
      </c>
      <c r="G145" s="78" t="inlineStr">
        <is>
          <t>5645</t>
        </is>
      </c>
      <c r="H145" s="78" t="inlineStr">
        <is>
          <t>305</t>
        </is>
      </c>
      <c r="I145" s="78" t="inlineStr">
        <is>
          <t>人</t>
        </is>
      </c>
      <c r="J145" s="78" t="inlineStr">
        <is>
          <t>官方照錄</t>
        </is>
      </c>
      <c r="K145" s="78" t="inlineStr">
        <is>
          <t>EDB-S6-2021</t>
        </is>
      </c>
      <c r="L145" s="78" t="inlineStr">
        <is>
          <t>PDF p.19（印刷頁14），Table 2.3</t>
        </is>
      </c>
      <c r="M145" s="78" t="inlineStr">
        <is>
          <t>分母為全體境外全日制求學者；不是全部S6畢業生。</t>
        </is>
      </c>
      <c r="N145" s="78" t="inlineStr">
        <is>
          <t>已從官方PDF逐表轉錄並經加總／視覺核對</t>
        </is>
      </c>
    </row>
    <row r="146" ht="30" customHeight="1">
      <c r="A146" s="77" t="inlineStr">
        <is>
          <t>EDB_S6_2021_T23_CANADA_SHARE</t>
        </is>
      </c>
      <c r="B146" s="77" t="inlineStr">
        <is>
          <t>表2.3｜加拿大佔境外升學者比例</t>
        </is>
      </c>
      <c r="C146" s="77" t="inlineStr">
        <is>
          <t>2021</t>
        </is>
      </c>
      <c r="D146" s="77" t="inlineStr">
        <is>
          <t>中學後／中六畢業出口</t>
        </is>
      </c>
      <c r="E146" s="77" t="inlineStr">
        <is>
          <t>EDB指定本地普通中學日校之有回應中六畢業生；按指標另註</t>
        </is>
      </c>
      <c r="F146" s="77" t="inlineStr">
        <is>
          <t>305</t>
        </is>
      </c>
      <c r="G146" s="77" t="inlineStr">
        <is>
          <t>5645</t>
        </is>
      </c>
      <c r="H146" s="77" t="inlineStr">
        <is>
          <t>5.4</t>
        </is>
      </c>
      <c r="I146" s="77" t="inlineStr">
        <is>
          <t>%</t>
        </is>
      </c>
      <c r="J146" s="77" t="inlineStr">
        <is>
          <t>官方公布比例</t>
        </is>
      </c>
      <c r="K146" s="77" t="inlineStr">
        <is>
          <t>EDB-S6-2021</t>
        </is>
      </c>
      <c r="L146" s="77" t="inlineStr">
        <is>
          <t>PDF p.19（印刷頁14），Table 2.3</t>
        </is>
      </c>
      <c r="M146" s="77" t="inlineStr">
        <is>
          <t>分母為全體境外全日制求學者；不可解讀成全體畢業生比例。</t>
        </is>
      </c>
      <c r="N146" s="77" t="inlineStr">
        <is>
          <t>已從官方PDF逐表轉錄並經加總／視覺核對</t>
        </is>
      </c>
    </row>
    <row r="147" ht="30" customHeight="1">
      <c r="A147" s="78" t="inlineStr">
        <is>
          <t>EDB_S6_2021_T23_US_COUNT</t>
        </is>
      </c>
      <c r="B147" s="78" t="inlineStr">
        <is>
          <t>表2.3｜美國全日制升學人數</t>
        </is>
      </c>
      <c r="C147" s="78" t="inlineStr">
        <is>
          <t>2021</t>
        </is>
      </c>
      <c r="D147" s="78" t="inlineStr">
        <is>
          <t>中學後／中六畢業出口</t>
        </is>
      </c>
      <c r="E147" s="78" t="inlineStr">
        <is>
          <t>EDB指定本地普通中學日校之有回應中六畢業生；按指標另註</t>
        </is>
      </c>
      <c r="F147" s="78" t="inlineStr">
        <is>
          <t>139</t>
        </is>
      </c>
      <c r="G147" s="78" t="inlineStr">
        <is>
          <t>5645</t>
        </is>
      </c>
      <c r="H147" s="78" t="inlineStr">
        <is>
          <t>139</t>
        </is>
      </c>
      <c r="I147" s="78" t="inlineStr">
        <is>
          <t>人</t>
        </is>
      </c>
      <c r="J147" s="78" t="inlineStr">
        <is>
          <t>官方照錄</t>
        </is>
      </c>
      <c r="K147" s="78" t="inlineStr">
        <is>
          <t>EDB-S6-2021</t>
        </is>
      </c>
      <c r="L147" s="78" t="inlineStr">
        <is>
          <t>PDF p.19（印刷頁14），Table 2.3</t>
        </is>
      </c>
      <c r="M147" s="78" t="inlineStr">
        <is>
          <t>分母為全體境外全日制求學者；不是全部S6畢業生。</t>
        </is>
      </c>
      <c r="N147" s="78" t="inlineStr">
        <is>
          <t>已從官方PDF逐表轉錄並經加總／視覺核對</t>
        </is>
      </c>
    </row>
    <row r="148" ht="30" customHeight="1">
      <c r="A148" s="77" t="inlineStr">
        <is>
          <t>EDB_S6_2021_T23_US_SHARE</t>
        </is>
      </c>
      <c r="B148" s="77" t="inlineStr">
        <is>
          <t>表2.3｜美國佔境外升學者比例</t>
        </is>
      </c>
      <c r="C148" s="77" t="inlineStr">
        <is>
          <t>2021</t>
        </is>
      </c>
      <c r="D148" s="77" t="inlineStr">
        <is>
          <t>中學後／中六畢業出口</t>
        </is>
      </c>
      <c r="E148" s="77" t="inlineStr">
        <is>
          <t>EDB指定本地普通中學日校之有回應中六畢業生；按指標另註</t>
        </is>
      </c>
      <c r="F148" s="77" t="inlineStr">
        <is>
          <t>139</t>
        </is>
      </c>
      <c r="G148" s="77" t="inlineStr">
        <is>
          <t>5645</t>
        </is>
      </c>
      <c r="H148" s="77" t="inlineStr">
        <is>
          <t>2.5</t>
        </is>
      </c>
      <c r="I148" s="77" t="inlineStr">
        <is>
          <t>%</t>
        </is>
      </c>
      <c r="J148" s="77" t="inlineStr">
        <is>
          <t>官方公布比例</t>
        </is>
      </c>
      <c r="K148" s="77" t="inlineStr">
        <is>
          <t>EDB-S6-2021</t>
        </is>
      </c>
      <c r="L148" s="77" t="inlineStr">
        <is>
          <t>PDF p.19（印刷頁14），Table 2.3</t>
        </is>
      </c>
      <c r="M148" s="77" t="inlineStr">
        <is>
          <t>分母為全體境外全日制求學者；不可解讀成全體畢業生比例。</t>
        </is>
      </c>
      <c r="N148" s="77" t="inlineStr">
        <is>
          <t>已從官方PDF逐表轉錄並經加總／視覺核對</t>
        </is>
      </c>
    </row>
    <row r="149" ht="30" customHeight="1">
      <c r="A149" s="78" t="inlineStr">
        <is>
          <t>EDB_S6_2021_T23_OTHERS_COUNT</t>
        </is>
      </c>
      <c r="B149" s="78" t="inlineStr">
        <is>
          <t>表2.3｜其他全日制升學人數</t>
        </is>
      </c>
      <c r="C149" s="78" t="inlineStr">
        <is>
          <t>2021</t>
        </is>
      </c>
      <c r="D149" s="78" t="inlineStr">
        <is>
          <t>中學後／中六畢業出口</t>
        </is>
      </c>
      <c r="E149" s="78" t="inlineStr">
        <is>
          <t>EDB指定本地普通中學日校之有回應中六畢業生；按指標另註</t>
        </is>
      </c>
      <c r="F149" s="78" t="inlineStr">
        <is>
          <t>309</t>
        </is>
      </c>
      <c r="G149" s="78" t="inlineStr">
        <is>
          <t>5645</t>
        </is>
      </c>
      <c r="H149" s="78" t="inlineStr">
        <is>
          <t>309</t>
        </is>
      </c>
      <c r="I149" s="78" t="inlineStr">
        <is>
          <t>人</t>
        </is>
      </c>
      <c r="J149" s="78" t="inlineStr">
        <is>
          <t>官方照錄</t>
        </is>
      </c>
      <c r="K149" s="78" t="inlineStr">
        <is>
          <t>EDB-S6-2021</t>
        </is>
      </c>
      <c r="L149" s="78" t="inlineStr">
        <is>
          <t>PDF p.19（印刷頁14），Table 2.3</t>
        </is>
      </c>
      <c r="M149" s="78" t="inlineStr">
        <is>
          <t>分母為全體境外全日制求學者；不是全部S6畢業生。</t>
        </is>
      </c>
      <c r="N149" s="78" t="inlineStr">
        <is>
          <t>已從官方PDF逐表轉錄並經加總／視覺核對</t>
        </is>
      </c>
    </row>
    <row r="150" ht="30" customHeight="1">
      <c r="A150" s="77" t="inlineStr">
        <is>
          <t>EDB_S6_2021_T23_OTHERS_SHARE</t>
        </is>
      </c>
      <c r="B150" s="77" t="inlineStr">
        <is>
          <t>表2.3｜其他佔境外升學者比例</t>
        </is>
      </c>
      <c r="C150" s="77" t="inlineStr">
        <is>
          <t>2021</t>
        </is>
      </c>
      <c r="D150" s="77" t="inlineStr">
        <is>
          <t>中學後／中六畢業出口</t>
        </is>
      </c>
      <c r="E150" s="77" t="inlineStr">
        <is>
          <t>EDB指定本地普通中學日校之有回應中六畢業生；按指標另註</t>
        </is>
      </c>
      <c r="F150" s="77" t="inlineStr">
        <is>
          <t>309</t>
        </is>
      </c>
      <c r="G150" s="77" t="inlineStr">
        <is>
          <t>5645</t>
        </is>
      </c>
      <c r="H150" s="77" t="inlineStr">
        <is>
          <t>5.5</t>
        </is>
      </c>
      <c r="I150" s="77" t="inlineStr">
        <is>
          <t>%</t>
        </is>
      </c>
      <c r="J150" s="77" t="inlineStr">
        <is>
          <t>官方公布比例</t>
        </is>
      </c>
      <c r="K150" s="77" t="inlineStr">
        <is>
          <t>EDB-S6-2021</t>
        </is>
      </c>
      <c r="L150" s="77" t="inlineStr">
        <is>
          <t>PDF p.19（印刷頁14），Table 2.3</t>
        </is>
      </c>
      <c r="M150" s="77" t="inlineStr">
        <is>
          <t>分母為全體境外全日制求學者；不可解讀成全體畢業生比例。</t>
        </is>
      </c>
      <c r="N150" s="77" t="inlineStr">
        <is>
          <t>已從官方PDF逐表轉錄並經加總／視覺核對</t>
        </is>
      </c>
    </row>
    <row r="151" ht="30" customHeight="1">
      <c r="A151" s="78" t="inlineStr">
        <is>
          <t>EDB_S6_2021_T23_OUTSIDE_TOTAL_COUNT</t>
        </is>
      </c>
      <c r="B151" s="78" t="inlineStr">
        <is>
          <t>表2.3｜境外全日制求學合計</t>
        </is>
      </c>
      <c r="C151" s="78" t="inlineStr">
        <is>
          <t>2021</t>
        </is>
      </c>
      <c r="D151" s="78" t="inlineStr">
        <is>
          <t>中學後／中六畢業出口</t>
        </is>
      </c>
      <c r="E151" s="78" t="inlineStr">
        <is>
          <t>EDB指定本地普通中學日校之有回應中六畢業生；按指標另註</t>
        </is>
      </c>
      <c r="F151" s="78" t="inlineStr">
        <is>
          <t>5645</t>
        </is>
      </c>
      <c r="G151" s="78" t="inlineStr"/>
      <c r="H151" s="78" t="inlineStr">
        <is>
          <t>5645</t>
        </is>
      </c>
      <c r="I151" s="78" t="inlineStr">
        <is>
          <t>人</t>
        </is>
      </c>
      <c r="J151" s="78" t="inlineStr">
        <is>
          <t>官方照錄</t>
        </is>
      </c>
      <c r="K151" s="78" t="inlineStr">
        <is>
          <t>EDB-S6-2021</t>
        </is>
      </c>
      <c r="L151" s="78" t="inlineStr">
        <is>
          <t>PDF p.19（印刷頁14），Table 2.3總數行</t>
        </is>
      </c>
      <c r="M151" s="78" t="inlineStr">
        <is>
          <t>與Chart 2.5核對。</t>
        </is>
      </c>
      <c r="N151" s="78" t="inlineStr">
        <is>
          <t>已從官方PDF逐表轉錄並經加總／視覺核對</t>
        </is>
      </c>
    </row>
    <row r="152" ht="30" customHeight="1">
      <c r="A152" s="77" t="inlineStr">
        <is>
          <t>EDB_S6_2022_SCHOOLS</t>
        </is>
      </c>
      <c r="B152" s="77" t="inlineStr">
        <is>
          <t>納入調查的普通中學日校數</t>
        </is>
      </c>
      <c r="C152" s="77" t="inlineStr">
        <is>
          <t>2022</t>
        </is>
      </c>
      <c r="D152" s="77" t="inlineStr">
        <is>
          <t>中學後／中六畢業出口</t>
        </is>
      </c>
      <c r="E152" s="77" t="inlineStr">
        <is>
          <t>EDB指定本地普通中學日校之有回應中六畢業生；按指標另註</t>
        </is>
      </c>
      <c r="F152" s="77" t="inlineStr">
        <is>
          <t>450</t>
        </is>
      </c>
      <c r="G152" s="77" t="inlineStr"/>
      <c r="H152" s="77" t="inlineStr">
        <is>
          <t>450</t>
        </is>
      </c>
      <c r="I152" s="77" t="inlineStr">
        <is>
          <t>所</t>
        </is>
      </c>
      <c r="J152" s="77" t="inlineStr">
        <is>
          <t>官方照錄</t>
        </is>
      </c>
      <c r="K152" s="77" t="inlineStr">
        <is>
          <t>EDB-S6-2022</t>
        </is>
      </c>
      <c r="L152" s="77" t="inlineStr">
        <is>
          <t>PDF p.7（印刷頁2），段1.4</t>
        </is>
      </c>
      <c r="M152" s="77" t="inlineStr">
        <is>
          <t>只涵蓋有該屆畢業生且提供本地課程的本地普通中學日校。</t>
        </is>
      </c>
      <c r="N152" s="77" t="inlineStr">
        <is>
          <t>已從官方PDF逐表轉錄並經加總／視覺核對</t>
        </is>
      </c>
    </row>
    <row r="153" ht="30" customHeight="1">
      <c r="A153" s="78" t="inlineStr">
        <is>
          <t>EDB_S6_2022_TARGET_APPROX</t>
        </is>
      </c>
      <c r="B153" s="78" t="inlineStr">
        <is>
          <t>調查目標畢業生總數（約）</t>
        </is>
      </c>
      <c r="C153" s="78" t="inlineStr">
        <is>
          <t>2022</t>
        </is>
      </c>
      <c r="D153" s="78" t="inlineStr">
        <is>
          <t>中學後／中六畢業出口</t>
        </is>
      </c>
      <c r="E153" s="78" t="inlineStr">
        <is>
          <t>EDB指定本地普通中學日校之有回應中六畢業生；按指標另註</t>
        </is>
      </c>
      <c r="F153" s="78" t="inlineStr">
        <is>
          <t>42400</t>
        </is>
      </c>
      <c r="G153" s="78" t="inlineStr"/>
      <c r="H153" s="78" t="inlineStr">
        <is>
          <t>42400</t>
        </is>
      </c>
      <c r="I153" s="78" t="inlineStr">
        <is>
          <t>人（約）</t>
        </is>
      </c>
      <c r="J153" s="78" t="inlineStr">
        <is>
          <t>官方約數</t>
        </is>
      </c>
      <c r="K153" s="78" t="inlineStr">
        <is>
          <t>EDB-S6-2022</t>
        </is>
      </c>
      <c r="L153" s="78" t="inlineStr">
        <is>
          <t>PDF p.7（印刷頁2），段1.4</t>
        </is>
      </c>
      <c r="M153" s="78" t="inlineStr">
        <is>
          <t>EDB用some約數，不作精確回應率分母。</t>
        </is>
      </c>
      <c r="N153" s="78" t="inlineStr">
        <is>
          <t>已從官方PDF逐表轉錄並經加總／視覺核對</t>
        </is>
      </c>
    </row>
    <row r="154" ht="30" customHeight="1">
      <c r="A154" s="77" t="inlineStr">
        <is>
          <t>EDB_S6_2022_RESPONDENTS</t>
        </is>
      </c>
      <c r="B154" s="77" t="inlineStr">
        <is>
          <t>調查有回應畢業生</t>
        </is>
      </c>
      <c r="C154" s="77" t="inlineStr">
        <is>
          <t>2022</t>
        </is>
      </c>
      <c r="D154" s="77" t="inlineStr">
        <is>
          <t>中學後／中六畢業出口</t>
        </is>
      </c>
      <c r="E154" s="77" t="inlineStr">
        <is>
          <t>EDB指定本地普通中學日校之有回應中六畢業生；按指標另註</t>
        </is>
      </c>
      <c r="F154" s="77" t="inlineStr">
        <is>
          <t>41222</t>
        </is>
      </c>
      <c r="G154" s="77" t="inlineStr"/>
      <c r="H154" s="77" t="inlineStr">
        <is>
          <t>41222</t>
        </is>
      </c>
      <c r="I154" s="77" t="inlineStr">
        <is>
          <t>人</t>
        </is>
      </c>
      <c r="J154" s="77" t="inlineStr">
        <is>
          <t>官方照錄</t>
        </is>
      </c>
      <c r="K154" s="77" t="inlineStr">
        <is>
          <t>EDB-S6-2022</t>
        </is>
      </c>
      <c r="L154" s="77" t="inlineStr">
        <is>
          <t>PDF p.11（印刷頁6），Table 2.1總數</t>
        </is>
      </c>
      <c r="M154" s="77" t="inlineStr">
        <is>
          <t>表格精確分母；非目標全體人數。</t>
        </is>
      </c>
      <c r="N154" s="77" t="inlineStr">
        <is>
          <t>已從官方PDF逐表轉錄並經加總／視覺核對</t>
        </is>
      </c>
    </row>
    <row r="155" ht="30" customHeight="1">
      <c r="A155" s="78" t="inlineStr">
        <is>
          <t>EDB_S6_2022_RESPONSE_RATE</t>
        </is>
      </c>
      <c r="B155" s="78" t="inlineStr">
        <is>
          <t>調查回應率</t>
        </is>
      </c>
      <c r="C155" s="78" t="inlineStr">
        <is>
          <t>2022</t>
        </is>
      </c>
      <c r="D155" s="78" t="inlineStr">
        <is>
          <t>中學後／中六畢業出口</t>
        </is>
      </c>
      <c r="E155" s="78" t="inlineStr">
        <is>
          <t>EDB指定本地普通中學日校之有回應中六畢業生；按指標另註</t>
        </is>
      </c>
      <c r="F155" s="78" t="inlineStr"/>
      <c r="G155" s="78" t="inlineStr"/>
      <c r="H155" s="78" t="inlineStr">
        <is>
          <t>97.3</t>
        </is>
      </c>
      <c r="I155" s="78" t="inlineStr">
        <is>
          <t>%</t>
        </is>
      </c>
      <c r="J155" s="78" t="inlineStr">
        <is>
          <t>官方公布比例</t>
        </is>
      </c>
      <c r="K155" s="78" t="inlineStr">
        <is>
          <t>EDB-S6-2022</t>
        </is>
      </c>
      <c r="L155" s="78" t="inlineStr">
        <is>
          <t>PDF p.7（印刷頁2），段1.4</t>
        </is>
      </c>
      <c r="M155" s="78" t="inlineStr">
        <is>
          <t>照錄EDB公布值；不以目標約數反推。</t>
        </is>
      </c>
      <c r="N155" s="78" t="inlineStr">
        <is>
          <t>已從官方PDF逐表轉錄並經加總／視覺核對</t>
        </is>
      </c>
    </row>
    <row r="156" ht="30" customHeight="1">
      <c r="A156" s="77" t="inlineStr">
        <is>
          <t>EDB_S6_2022_T21_FULL_TIME_STUDY_ALL_COUNT</t>
        </is>
      </c>
      <c r="B156" s="77" t="inlineStr">
        <is>
          <t>表2.1｜全體有回應畢業生｜全日制求學人數</t>
        </is>
      </c>
      <c r="C156" s="77" t="inlineStr">
        <is>
          <t>2022</t>
        </is>
      </c>
      <c r="D156" s="77" t="inlineStr">
        <is>
          <t>中學後／中六畢業出口</t>
        </is>
      </c>
      <c r="E156" s="77" t="inlineStr">
        <is>
          <t>EDB指定本地普通中學日校之有回應中六畢業生；按指標另註</t>
        </is>
      </c>
      <c r="F156" s="77" t="inlineStr">
        <is>
          <t>38610</t>
        </is>
      </c>
      <c r="G156" s="77" t="inlineStr">
        <is>
          <t>41222</t>
        </is>
      </c>
      <c r="H156" s="77" t="inlineStr">
        <is>
          <t>38610</t>
        </is>
      </c>
      <c r="I156" s="77" t="inlineStr">
        <is>
          <t>人</t>
        </is>
      </c>
      <c r="J156" s="77" t="inlineStr">
        <is>
          <t>官方照錄</t>
        </is>
      </c>
      <c r="K156" s="77" t="inlineStr">
        <is>
          <t>EDB-S6-2022</t>
        </is>
      </c>
      <c r="L156" s="77" t="inlineStr">
        <is>
          <t>PDF p.11（印刷頁6），Table 2.1</t>
        </is>
      </c>
      <c r="M156" s="77" t="inlineStr">
        <is>
          <t>分母為同屆全體有回應畢業生；10月快照。</t>
        </is>
      </c>
      <c r="N156" s="77" t="inlineStr">
        <is>
          <t>已從官方PDF逐表轉錄並經加總／視覺核對</t>
        </is>
      </c>
    </row>
    <row r="157" ht="30" customHeight="1">
      <c r="A157" s="78" t="inlineStr">
        <is>
          <t>EDB_S6_2022_T21_FULL_TIME_STUDY_ALL_SHARE</t>
        </is>
      </c>
      <c r="B157" s="78" t="inlineStr">
        <is>
          <t>表2.1｜全體有回應畢業生｜全日制求學比例</t>
        </is>
      </c>
      <c r="C157" s="78" t="inlineStr">
        <is>
          <t>2022</t>
        </is>
      </c>
      <c r="D157" s="78" t="inlineStr">
        <is>
          <t>中學後／中六畢業出口</t>
        </is>
      </c>
      <c r="E157" s="78" t="inlineStr">
        <is>
          <t>EDB指定本地普通中學日校之有回應中六畢業生；按指標另註</t>
        </is>
      </c>
      <c r="F157" s="78" t="inlineStr">
        <is>
          <t>38610</t>
        </is>
      </c>
      <c r="G157" s="78" t="inlineStr">
        <is>
          <t>41222</t>
        </is>
      </c>
      <c r="H157" s="78" t="inlineStr">
        <is>
          <t>93.7</t>
        </is>
      </c>
      <c r="I157" s="78" t="inlineStr">
        <is>
          <t>%</t>
        </is>
      </c>
      <c r="J157" s="78" t="inlineStr">
        <is>
          <t>官方公布比例</t>
        </is>
      </c>
      <c r="K157" s="78" t="inlineStr">
        <is>
          <t>EDB-S6-2022</t>
        </is>
      </c>
      <c r="L157" s="78" t="inlineStr">
        <is>
          <t>PDF p.11（印刷頁6），Table 2.1</t>
        </is>
      </c>
      <c r="M157" s="78" t="inlineStr">
        <is>
          <t>保留EDB公布至小數一位的比例；不得當作終身結果。</t>
        </is>
      </c>
      <c r="N157" s="78" t="inlineStr">
        <is>
          <t>已從官方PDF逐表轉錄並經加總／視覺核對</t>
        </is>
      </c>
    </row>
    <row r="158" ht="30" customHeight="1">
      <c r="A158" s="77" t="inlineStr">
        <is>
          <t>EDB_S6_2022_T21_FULL_TIME_EMPLOYMENT_ALL_COUNT</t>
        </is>
      </c>
      <c r="B158" s="77" t="inlineStr">
        <is>
          <t>表2.1｜全體有回應畢業生｜全職工作人數</t>
        </is>
      </c>
      <c r="C158" s="77" t="inlineStr">
        <is>
          <t>2022</t>
        </is>
      </c>
      <c r="D158" s="77" t="inlineStr">
        <is>
          <t>中學後／中六畢業出口</t>
        </is>
      </c>
      <c r="E158" s="77" t="inlineStr">
        <is>
          <t>EDB指定本地普通中學日校之有回應中六畢業生；按指標另註</t>
        </is>
      </c>
      <c r="F158" s="77" t="inlineStr">
        <is>
          <t>1091</t>
        </is>
      </c>
      <c r="G158" s="77" t="inlineStr">
        <is>
          <t>41222</t>
        </is>
      </c>
      <c r="H158" s="77" t="inlineStr">
        <is>
          <t>1091</t>
        </is>
      </c>
      <c r="I158" s="77" t="inlineStr">
        <is>
          <t>人</t>
        </is>
      </c>
      <c r="J158" s="77" t="inlineStr">
        <is>
          <t>官方照錄</t>
        </is>
      </c>
      <c r="K158" s="77" t="inlineStr">
        <is>
          <t>EDB-S6-2022</t>
        </is>
      </c>
      <c r="L158" s="77" t="inlineStr">
        <is>
          <t>PDF p.11（印刷頁6），Table 2.1</t>
        </is>
      </c>
      <c r="M158" s="77" t="inlineStr">
        <is>
          <t>分母為同屆全體有回應畢業生；10月快照。</t>
        </is>
      </c>
      <c r="N158" s="77" t="inlineStr">
        <is>
          <t>已從官方PDF逐表轉錄並經加總／視覺核對</t>
        </is>
      </c>
    </row>
    <row r="159" ht="30" customHeight="1">
      <c r="A159" s="78" t="inlineStr">
        <is>
          <t>EDB_S6_2022_T21_FULL_TIME_EMPLOYMENT_ALL_SHARE</t>
        </is>
      </c>
      <c r="B159" s="78" t="inlineStr">
        <is>
          <t>表2.1｜全體有回應畢業生｜全職工作比例</t>
        </is>
      </c>
      <c r="C159" s="78" t="inlineStr">
        <is>
          <t>2022</t>
        </is>
      </c>
      <c r="D159" s="78" t="inlineStr">
        <is>
          <t>中學後／中六畢業出口</t>
        </is>
      </c>
      <c r="E159" s="78" t="inlineStr">
        <is>
          <t>EDB指定本地普通中學日校之有回應中六畢業生；按指標另註</t>
        </is>
      </c>
      <c r="F159" s="78" t="inlineStr">
        <is>
          <t>1091</t>
        </is>
      </c>
      <c r="G159" s="78" t="inlineStr">
        <is>
          <t>41222</t>
        </is>
      </c>
      <c r="H159" s="78" t="inlineStr">
        <is>
          <t>2.6</t>
        </is>
      </c>
      <c r="I159" s="78" t="inlineStr">
        <is>
          <t>%</t>
        </is>
      </c>
      <c r="J159" s="78" t="inlineStr">
        <is>
          <t>官方公布比例</t>
        </is>
      </c>
      <c r="K159" s="78" t="inlineStr">
        <is>
          <t>EDB-S6-2022</t>
        </is>
      </c>
      <c r="L159" s="78" t="inlineStr">
        <is>
          <t>PDF p.11（印刷頁6），Table 2.1</t>
        </is>
      </c>
      <c r="M159" s="78" t="inlineStr">
        <is>
          <t>保留EDB公布至小數一位的比例；不得當作終身結果。</t>
        </is>
      </c>
      <c r="N159" s="78" t="inlineStr">
        <is>
          <t>已從官方PDF逐表轉錄並經加總／視覺核對</t>
        </is>
      </c>
    </row>
    <row r="160" ht="30" customHeight="1">
      <c r="A160" s="77" t="inlineStr">
        <is>
          <t>EDB_S6_2022_T21_PART_TIME_EMPLOYMENT_STUDY_ALL_COUNT</t>
        </is>
      </c>
      <c r="B160" s="77" t="inlineStr">
        <is>
          <t>表2.1｜全體有回應畢業生｜部分時間工作／求學人數</t>
        </is>
      </c>
      <c r="C160" s="77" t="inlineStr">
        <is>
          <t>2022</t>
        </is>
      </c>
      <c r="D160" s="77" t="inlineStr">
        <is>
          <t>中學後／中六畢業出口</t>
        </is>
      </c>
      <c r="E160" s="77" t="inlineStr">
        <is>
          <t>EDB指定本地普通中學日校之有回應中六畢業生；按指標另註</t>
        </is>
      </c>
      <c r="F160" s="77" t="inlineStr">
        <is>
          <t>934</t>
        </is>
      </c>
      <c r="G160" s="77" t="inlineStr">
        <is>
          <t>41222</t>
        </is>
      </c>
      <c r="H160" s="77" t="inlineStr">
        <is>
          <t>934</t>
        </is>
      </c>
      <c r="I160" s="77" t="inlineStr">
        <is>
          <t>人</t>
        </is>
      </c>
      <c r="J160" s="77" t="inlineStr">
        <is>
          <t>官方照錄</t>
        </is>
      </c>
      <c r="K160" s="77" t="inlineStr">
        <is>
          <t>EDB-S6-2022</t>
        </is>
      </c>
      <c r="L160" s="77" t="inlineStr">
        <is>
          <t>PDF p.11（印刷頁6），Table 2.1</t>
        </is>
      </c>
      <c r="M160" s="77" t="inlineStr">
        <is>
          <t>分母為同屆全體有回應畢業生；10月快照。</t>
        </is>
      </c>
      <c r="N160" s="77" t="inlineStr">
        <is>
          <t>已從官方PDF逐表轉錄並經加總／視覺核對</t>
        </is>
      </c>
    </row>
    <row r="161" ht="30" customHeight="1">
      <c r="A161" s="78" t="inlineStr">
        <is>
          <t>EDB_S6_2022_T21_PART_TIME_EMPLOYMENT_STUDY_ALL_SHARE</t>
        </is>
      </c>
      <c r="B161" s="78" t="inlineStr">
        <is>
          <t>表2.1｜全體有回應畢業生｜部分時間工作／求學比例</t>
        </is>
      </c>
      <c r="C161" s="78" t="inlineStr">
        <is>
          <t>2022</t>
        </is>
      </c>
      <c r="D161" s="78" t="inlineStr">
        <is>
          <t>中學後／中六畢業出口</t>
        </is>
      </c>
      <c r="E161" s="78" t="inlineStr">
        <is>
          <t>EDB指定本地普通中學日校之有回應中六畢業生；按指標另註</t>
        </is>
      </c>
      <c r="F161" s="78" t="inlineStr">
        <is>
          <t>934</t>
        </is>
      </c>
      <c r="G161" s="78" t="inlineStr">
        <is>
          <t>41222</t>
        </is>
      </c>
      <c r="H161" s="78" t="inlineStr">
        <is>
          <t>2.3</t>
        </is>
      </c>
      <c r="I161" s="78" t="inlineStr">
        <is>
          <t>%</t>
        </is>
      </c>
      <c r="J161" s="78" t="inlineStr">
        <is>
          <t>官方公布比例</t>
        </is>
      </c>
      <c r="K161" s="78" t="inlineStr">
        <is>
          <t>EDB-S6-2022</t>
        </is>
      </c>
      <c r="L161" s="78" t="inlineStr">
        <is>
          <t>PDF p.11（印刷頁6），Table 2.1</t>
        </is>
      </c>
      <c r="M161" s="78" t="inlineStr">
        <is>
          <t>保留EDB公布至小數一位的比例；不得當作終身結果。</t>
        </is>
      </c>
      <c r="N161" s="78" t="inlineStr">
        <is>
          <t>已從官方PDF逐表轉錄並經加總／視覺核對</t>
        </is>
      </c>
    </row>
    <row r="162" ht="30" customHeight="1">
      <c r="A162" s="77" t="inlineStr">
        <is>
          <t>EDB_S6_2022_T21_NEITHER_EMPLOYMENT_NOR_STUDY_ALL_COUNT</t>
        </is>
      </c>
      <c r="B162" s="77" t="inlineStr">
        <is>
          <t>表2.1｜全體有回應畢業生｜既非工作亦非求學人數</t>
        </is>
      </c>
      <c r="C162" s="77" t="inlineStr">
        <is>
          <t>2022</t>
        </is>
      </c>
      <c r="D162" s="77" t="inlineStr">
        <is>
          <t>中學後／中六畢業出口</t>
        </is>
      </c>
      <c r="E162" s="77" t="inlineStr">
        <is>
          <t>EDB指定本地普通中學日校之有回應中六畢業生；按指標另註</t>
        </is>
      </c>
      <c r="F162" s="77" t="inlineStr">
        <is>
          <t>587</t>
        </is>
      </c>
      <c r="G162" s="77" t="inlineStr">
        <is>
          <t>41222</t>
        </is>
      </c>
      <c r="H162" s="77" t="inlineStr">
        <is>
          <t>587</t>
        </is>
      </c>
      <c r="I162" s="77" t="inlineStr">
        <is>
          <t>人</t>
        </is>
      </c>
      <c r="J162" s="77" t="inlineStr">
        <is>
          <t>官方照錄</t>
        </is>
      </c>
      <c r="K162" s="77" t="inlineStr">
        <is>
          <t>EDB-S6-2022</t>
        </is>
      </c>
      <c r="L162" s="77" t="inlineStr">
        <is>
          <t>PDF p.11（印刷頁6），Table 2.1</t>
        </is>
      </c>
      <c r="M162" s="77" t="inlineStr">
        <is>
          <t>分母為同屆全體有回應畢業生；10月快照。</t>
        </is>
      </c>
      <c r="N162" s="77" t="inlineStr">
        <is>
          <t>已從官方PDF逐表轉錄並經加總／視覺核對</t>
        </is>
      </c>
    </row>
    <row r="163" ht="30" customHeight="1">
      <c r="A163" s="78" t="inlineStr">
        <is>
          <t>EDB_S6_2022_T21_NEITHER_EMPLOYMENT_NOR_STUDY_ALL_SHARE</t>
        </is>
      </c>
      <c r="B163" s="78" t="inlineStr">
        <is>
          <t>表2.1｜全體有回應畢業生｜既非工作亦非求學比例</t>
        </is>
      </c>
      <c r="C163" s="78" t="inlineStr">
        <is>
          <t>2022</t>
        </is>
      </c>
      <c r="D163" s="78" t="inlineStr">
        <is>
          <t>中學後／中六畢業出口</t>
        </is>
      </c>
      <c r="E163" s="78" t="inlineStr">
        <is>
          <t>EDB指定本地普通中學日校之有回應中六畢業生；按指標另註</t>
        </is>
      </c>
      <c r="F163" s="78" t="inlineStr">
        <is>
          <t>587</t>
        </is>
      </c>
      <c r="G163" s="78" t="inlineStr">
        <is>
          <t>41222</t>
        </is>
      </c>
      <c r="H163" s="78" t="inlineStr">
        <is>
          <t>1.4</t>
        </is>
      </c>
      <c r="I163" s="78" t="inlineStr">
        <is>
          <t>%</t>
        </is>
      </c>
      <c r="J163" s="78" t="inlineStr">
        <is>
          <t>官方公布比例</t>
        </is>
      </c>
      <c r="K163" s="78" t="inlineStr">
        <is>
          <t>EDB-S6-2022</t>
        </is>
      </c>
      <c r="L163" s="78" t="inlineStr">
        <is>
          <t>PDF p.11（印刷頁6），Table 2.1</t>
        </is>
      </c>
      <c r="M163" s="78" t="inlineStr">
        <is>
          <t>保留EDB公布至小數一位的比例；不得當作終身結果。</t>
        </is>
      </c>
      <c r="N163" s="78" t="inlineStr">
        <is>
          <t>已從官方PDF逐表轉錄並經加總／視覺核對</t>
        </is>
      </c>
    </row>
    <row r="164" ht="30" customHeight="1">
      <c r="A164" s="77" t="inlineStr">
        <is>
          <t>EDB_S6_2022_T22_BACHELOR_COUNT</t>
        </is>
      </c>
      <c r="B164" s="77" t="inlineStr">
        <is>
          <t>表2.2｜全體全日制求學者｜學士學位課程人數</t>
        </is>
      </c>
      <c r="C164" s="77" t="inlineStr">
        <is>
          <t>2022</t>
        </is>
      </c>
      <c r="D164" s="77" t="inlineStr">
        <is>
          <t>中學後／中六畢業出口</t>
        </is>
      </c>
      <c r="E164" s="77" t="inlineStr">
        <is>
          <t>EDB指定本地普通中學日校之有回應中六畢業生；按指標另註</t>
        </is>
      </c>
      <c r="F164" s="77" t="inlineStr">
        <is>
          <t>19062</t>
        </is>
      </c>
      <c r="G164" s="77" t="inlineStr">
        <is>
          <t>38610</t>
        </is>
      </c>
      <c r="H164" s="77" t="inlineStr">
        <is>
          <t>19062</t>
        </is>
      </c>
      <c r="I164" s="77" t="inlineStr">
        <is>
          <t>人</t>
        </is>
      </c>
      <c r="J164" s="77" t="inlineStr">
        <is>
          <t>官方照錄</t>
        </is>
      </c>
      <c r="K164" s="77" t="inlineStr">
        <is>
          <t>EDB-S6-2022</t>
        </is>
      </c>
      <c r="L164" s="77" t="inlineStr">
        <is>
          <t>PDF p.14（印刷頁9），Table 2.2</t>
        </is>
      </c>
      <c r="M164" s="77" t="inlineStr">
        <is>
          <t>分母為全體全日制求學者；本科／專上分類包括公帑資助、自資及海外院校；不是政府資助學額或錄取率。</t>
        </is>
      </c>
      <c r="N164" s="77" t="inlineStr">
        <is>
          <t>已從官方PDF逐表轉錄並經加總／視覺核對</t>
        </is>
      </c>
    </row>
    <row r="165" ht="30" customHeight="1">
      <c r="A165" s="78" t="inlineStr">
        <is>
          <t>EDB_S6_2022_T22_BACHELOR_SHARE</t>
        </is>
      </c>
      <c r="B165" s="78" t="inlineStr">
        <is>
          <t>表2.2｜全體全日制求學者｜學士學位課程比例</t>
        </is>
      </c>
      <c r="C165" s="78" t="inlineStr">
        <is>
          <t>2022</t>
        </is>
      </c>
      <c r="D165" s="78" t="inlineStr">
        <is>
          <t>中學後／中六畢業出口</t>
        </is>
      </c>
      <c r="E165" s="78" t="inlineStr">
        <is>
          <t>EDB指定本地普通中學日校之有回應中六畢業生；按指標另註</t>
        </is>
      </c>
      <c r="F165" s="78" t="inlineStr">
        <is>
          <t>19062</t>
        </is>
      </c>
      <c r="G165" s="78" t="inlineStr">
        <is>
          <t>38610</t>
        </is>
      </c>
      <c r="H165" s="78" t="inlineStr">
        <is>
          <t>49.4</t>
        </is>
      </c>
      <c r="I165" s="78" t="inlineStr">
        <is>
          <t>%</t>
        </is>
      </c>
      <c r="J165" s="78" t="inlineStr">
        <is>
          <t>官方公布比例</t>
        </is>
      </c>
      <c r="K165" s="78" t="inlineStr">
        <is>
          <t>EDB-S6-2022</t>
        </is>
      </c>
      <c r="L165" s="78" t="inlineStr">
        <is>
          <t>PDF p.14（印刷頁9），Table 2.2</t>
        </is>
      </c>
      <c r="M165" s="78" t="inlineStr">
        <is>
          <t>分母為全體全日制求學者；本科／專上分類包括公帑資助、自資及海外院校；不是政府資助學額或錄取率。</t>
        </is>
      </c>
      <c r="N165" s="78" t="inlineStr">
        <is>
          <t>已從官方PDF逐表轉錄並經加總／視覺核對</t>
        </is>
      </c>
    </row>
    <row r="166" ht="30" customHeight="1">
      <c r="A166" s="77" t="inlineStr">
        <is>
          <t>EDB_S6_2022_T22_POSTSECONDARY_COUNT</t>
        </is>
      </c>
      <c r="B166" s="77" t="inlineStr">
        <is>
          <t>表2.2｜全體全日制求學者｜專上課程（副學士／高級文憑）人數</t>
        </is>
      </c>
      <c r="C166" s="77" t="inlineStr">
        <is>
          <t>2022</t>
        </is>
      </c>
      <c r="D166" s="77" t="inlineStr">
        <is>
          <t>中學後／中六畢業出口</t>
        </is>
      </c>
      <c r="E166" s="77" t="inlineStr">
        <is>
          <t>EDB指定本地普通中學日校之有回應中六畢業生；按指標另註</t>
        </is>
      </c>
      <c r="F166" s="77" t="inlineStr">
        <is>
          <t>11436</t>
        </is>
      </c>
      <c r="G166" s="77" t="inlineStr">
        <is>
          <t>38610</t>
        </is>
      </c>
      <c r="H166" s="77" t="inlineStr">
        <is>
          <t>11436</t>
        </is>
      </c>
      <c r="I166" s="77" t="inlineStr">
        <is>
          <t>人</t>
        </is>
      </c>
      <c r="J166" s="77" t="inlineStr">
        <is>
          <t>官方照錄</t>
        </is>
      </c>
      <c r="K166" s="77" t="inlineStr">
        <is>
          <t>EDB-S6-2022</t>
        </is>
      </c>
      <c r="L166" s="77" t="inlineStr">
        <is>
          <t>PDF p.14（印刷頁9），Table 2.2</t>
        </is>
      </c>
      <c r="M166" s="77" t="inlineStr">
        <is>
          <t>分母為全體全日制求學者；本科／專上分類包括公帑資助、自資及海外院校；不是政府資助學額或錄取率。</t>
        </is>
      </c>
      <c r="N166" s="77" t="inlineStr">
        <is>
          <t>已從官方PDF逐表轉錄並經加總／視覺核對</t>
        </is>
      </c>
    </row>
    <row r="167" ht="30" customHeight="1">
      <c r="A167" s="78" t="inlineStr">
        <is>
          <t>EDB_S6_2022_T22_POSTSECONDARY_SHARE</t>
        </is>
      </c>
      <c r="B167" s="78" t="inlineStr">
        <is>
          <t>表2.2｜全體全日制求學者｜專上課程（副學士／高級文憑）比例</t>
        </is>
      </c>
      <c r="C167" s="78" t="inlineStr">
        <is>
          <t>2022</t>
        </is>
      </c>
      <c r="D167" s="78" t="inlineStr">
        <is>
          <t>中學後／中六畢業出口</t>
        </is>
      </c>
      <c r="E167" s="78" t="inlineStr">
        <is>
          <t>EDB指定本地普通中學日校之有回應中六畢業生；按指標另註</t>
        </is>
      </c>
      <c r="F167" s="78" t="inlineStr">
        <is>
          <t>11436</t>
        </is>
      </c>
      <c r="G167" s="78" t="inlineStr">
        <is>
          <t>38610</t>
        </is>
      </c>
      <c r="H167" s="78" t="inlineStr">
        <is>
          <t>29.6</t>
        </is>
      </c>
      <c r="I167" s="78" t="inlineStr">
        <is>
          <t>%</t>
        </is>
      </c>
      <c r="J167" s="78" t="inlineStr">
        <is>
          <t>官方公布比例</t>
        </is>
      </c>
      <c r="K167" s="78" t="inlineStr">
        <is>
          <t>EDB-S6-2022</t>
        </is>
      </c>
      <c r="L167" s="78" t="inlineStr">
        <is>
          <t>PDF p.14（印刷頁9），Table 2.2</t>
        </is>
      </c>
      <c r="M167" s="78" t="inlineStr">
        <is>
          <t>分母為全體全日制求學者；本科／專上分類包括公帑資助、自資及海外院校；不是政府資助學額或錄取率。</t>
        </is>
      </c>
      <c r="N167" s="78" t="inlineStr">
        <is>
          <t>已從官方PDF逐表轉錄並經加總／視覺核對</t>
        </is>
      </c>
    </row>
    <row r="168" ht="30" customHeight="1">
      <c r="A168" s="77" t="inlineStr">
        <is>
          <t>EDB_S6_2022_T22_OTHER_FULL_TIME_COUNT</t>
        </is>
      </c>
      <c r="B168" s="77" t="inlineStr">
        <is>
          <t>表2.2｜全體全日制求學者｜其他全日制課程人數</t>
        </is>
      </c>
      <c r="C168" s="77" t="inlineStr">
        <is>
          <t>2022</t>
        </is>
      </c>
      <c r="D168" s="77" t="inlineStr">
        <is>
          <t>中學後／中六畢業出口</t>
        </is>
      </c>
      <c r="E168" s="77" t="inlineStr">
        <is>
          <t>EDB指定本地普通中學日校之有回應中六畢業生；按指標另註</t>
        </is>
      </c>
      <c r="F168" s="77" t="inlineStr">
        <is>
          <t>7978</t>
        </is>
      </c>
      <c r="G168" s="77" t="inlineStr">
        <is>
          <t>38610</t>
        </is>
      </c>
      <c r="H168" s="77" t="inlineStr">
        <is>
          <t>7978</t>
        </is>
      </c>
      <c r="I168" s="77" t="inlineStr">
        <is>
          <t>人</t>
        </is>
      </c>
      <c r="J168" s="77" t="inlineStr">
        <is>
          <t>官方照錄</t>
        </is>
      </c>
      <c r="K168" s="77" t="inlineStr">
        <is>
          <t>EDB-S6-2022</t>
        </is>
      </c>
      <c r="L168" s="77" t="inlineStr">
        <is>
          <t>PDF p.14（印刷頁9），Table 2.2</t>
        </is>
      </c>
      <c r="M168" s="77" t="inlineStr">
        <is>
          <t>分母為全體全日制求學者；其他全日制課程跨2021–22及2023–25不宜直接作嚴格同比，詳見分類crosswalk。</t>
        </is>
      </c>
      <c r="N168" s="77" t="inlineStr">
        <is>
          <t>已從官方PDF逐表轉錄並經加總／視覺核對</t>
        </is>
      </c>
    </row>
    <row r="169" ht="30" customHeight="1">
      <c r="A169" s="78" t="inlineStr">
        <is>
          <t>EDB_S6_2022_T22_OTHER_FULL_TIME_SHARE</t>
        </is>
      </c>
      <c r="B169" s="78" t="inlineStr">
        <is>
          <t>表2.2｜全體全日制求學者｜其他全日制課程比例</t>
        </is>
      </c>
      <c r="C169" s="78" t="inlineStr">
        <is>
          <t>2022</t>
        </is>
      </c>
      <c r="D169" s="78" t="inlineStr">
        <is>
          <t>中學後／中六畢業出口</t>
        </is>
      </c>
      <c r="E169" s="78" t="inlineStr">
        <is>
          <t>EDB指定本地普通中學日校之有回應中六畢業生；按指標另註</t>
        </is>
      </c>
      <c r="F169" s="78" t="inlineStr">
        <is>
          <t>7978</t>
        </is>
      </c>
      <c r="G169" s="78" t="inlineStr">
        <is>
          <t>38610</t>
        </is>
      </c>
      <c r="H169" s="78" t="inlineStr">
        <is>
          <t>20.7</t>
        </is>
      </c>
      <c r="I169" s="78" t="inlineStr">
        <is>
          <t>%</t>
        </is>
      </c>
      <c r="J169" s="78" t="inlineStr">
        <is>
          <t>官方公布比例</t>
        </is>
      </c>
      <c r="K169" s="78" t="inlineStr">
        <is>
          <t>EDB-S6-2022</t>
        </is>
      </c>
      <c r="L169" s="78" t="inlineStr">
        <is>
          <t>PDF p.14（印刷頁9），Table 2.2</t>
        </is>
      </c>
      <c r="M169" s="78" t="inlineStr">
        <is>
          <t>分母為全體全日制求學者；其他全日制課程跨2021–22及2023–25不宜直接作嚴格同比，詳見分類crosswalk。</t>
        </is>
      </c>
      <c r="N169" s="78" t="inlineStr">
        <is>
          <t>已從官方PDF逐表轉錄並經加總／視覺核對</t>
        </is>
      </c>
    </row>
    <row r="170" ht="30" customHeight="1">
      <c r="A170" s="77" t="inlineStr">
        <is>
          <t>EDB_S6_2022_T22_SECONDARY_6_COURSE_COUNT</t>
        </is>
      </c>
      <c r="B170" s="77" t="inlineStr">
        <is>
          <t>表2.2｜全體全日制求學者｜中六課程人數</t>
        </is>
      </c>
      <c r="C170" s="77" t="inlineStr">
        <is>
          <t>2022</t>
        </is>
      </c>
      <c r="D170" s="77" t="inlineStr">
        <is>
          <t>中學後／中六畢業出口</t>
        </is>
      </c>
      <c r="E170" s="77" t="inlineStr">
        <is>
          <t>EDB指定本地普通中學日校之有回應中六畢業生；按指標另註</t>
        </is>
      </c>
      <c r="F170" s="77" t="inlineStr">
        <is>
          <t>134</t>
        </is>
      </c>
      <c r="G170" s="77" t="inlineStr">
        <is>
          <t>38610</t>
        </is>
      </c>
      <c r="H170" s="77" t="inlineStr">
        <is>
          <t>134</t>
        </is>
      </c>
      <c r="I170" s="77" t="inlineStr">
        <is>
          <t>人</t>
        </is>
      </c>
      <c r="J170" s="77" t="inlineStr">
        <is>
          <t>官方照錄</t>
        </is>
      </c>
      <c r="K170" s="77" t="inlineStr">
        <is>
          <t>EDB-S6-2022</t>
        </is>
      </c>
      <c r="L170" s="77" t="inlineStr">
        <is>
          <t>PDF p.14（印刷頁9），Table 2.2</t>
        </is>
      </c>
      <c r="M170" s="77" t="inlineStr">
        <is>
          <t>分母為全體全日制求學者；本科／專上分類包括公帑資助、自資及海外院校；不是政府資助學額或錄取率。</t>
        </is>
      </c>
      <c r="N170" s="77" t="inlineStr">
        <is>
          <t>已從官方PDF逐表轉錄並經加總／視覺核對</t>
        </is>
      </c>
    </row>
    <row r="171" ht="30" customHeight="1">
      <c r="A171" s="78" t="inlineStr">
        <is>
          <t>EDB_S6_2022_T22_SECONDARY_6_COURSE_SHARE</t>
        </is>
      </c>
      <c r="B171" s="78" t="inlineStr">
        <is>
          <t>表2.2｜全體全日制求學者｜中六課程比例</t>
        </is>
      </c>
      <c r="C171" s="78" t="inlineStr">
        <is>
          <t>2022</t>
        </is>
      </c>
      <c r="D171" s="78" t="inlineStr">
        <is>
          <t>中學後／中六畢業出口</t>
        </is>
      </c>
      <c r="E171" s="78" t="inlineStr">
        <is>
          <t>EDB指定本地普通中學日校之有回應中六畢業生；按指標另註</t>
        </is>
      </c>
      <c r="F171" s="78" t="inlineStr">
        <is>
          <t>134</t>
        </is>
      </c>
      <c r="G171" s="78" t="inlineStr">
        <is>
          <t>38610</t>
        </is>
      </c>
      <c r="H171" s="78" t="inlineStr">
        <is>
          <t>0.3</t>
        </is>
      </c>
      <c r="I171" s="78" t="inlineStr">
        <is>
          <t>%</t>
        </is>
      </c>
      <c r="J171" s="78" t="inlineStr">
        <is>
          <t>官方公布比例</t>
        </is>
      </c>
      <c r="K171" s="78" t="inlineStr">
        <is>
          <t>EDB-S6-2022</t>
        </is>
      </c>
      <c r="L171" s="78" t="inlineStr">
        <is>
          <t>PDF p.14（印刷頁9），Table 2.2</t>
        </is>
      </c>
      <c r="M171" s="78" t="inlineStr">
        <is>
          <t>分母為全體全日制求學者；本科／專上分類包括公帑資助、自資及海外院校；不是政府資助學額或錄取率。</t>
        </is>
      </c>
      <c r="N171" s="78" t="inlineStr">
        <is>
          <t>已從官方PDF逐表轉錄並經加總／視覺核對</t>
        </is>
      </c>
    </row>
    <row r="172" ht="30" customHeight="1">
      <c r="A172" s="77" t="inlineStr">
        <is>
          <t>EDB_S6_2022_CHART25_OUTSIDE_HK_COUNT</t>
        </is>
      </c>
      <c r="B172" s="77" t="inlineStr">
        <is>
          <t>Chart 2.5｜香港以外全日制求學人數</t>
        </is>
      </c>
      <c r="C172" s="77" t="inlineStr">
        <is>
          <t>2022</t>
        </is>
      </c>
      <c r="D172" s="77" t="inlineStr">
        <is>
          <t>中學後／中六畢業出口</t>
        </is>
      </c>
      <c r="E172" s="77" t="inlineStr">
        <is>
          <t>EDB指定本地普通中學日校之有回應中六畢業生；按指標另註</t>
        </is>
      </c>
      <c r="F172" s="77" t="inlineStr">
        <is>
          <t>4789</t>
        </is>
      </c>
      <c r="G172" s="77" t="inlineStr">
        <is>
          <t>38610</t>
        </is>
      </c>
      <c r="H172" s="77" t="inlineStr">
        <is>
          <t>4789</t>
        </is>
      </c>
      <c r="I172" s="77" t="inlineStr">
        <is>
          <t>人</t>
        </is>
      </c>
      <c r="J172" s="77" t="inlineStr">
        <is>
          <t>官方照錄</t>
        </is>
      </c>
      <c r="K172" s="77" t="inlineStr">
        <is>
          <t>EDB-S6-2022</t>
        </is>
      </c>
      <c r="L172" s="77" t="inlineStr">
        <is>
          <t>PDF p.16（印刷頁11），Chart 2.5</t>
        </is>
      </c>
      <c r="M172" s="77" t="inlineStr">
        <is>
          <t>分母為同屆全日制求學者；只代表10月調查狀況。</t>
        </is>
      </c>
      <c r="N172" s="77" t="inlineStr">
        <is>
          <t>已從官方PDF逐表轉錄並經加總／視覺核對</t>
        </is>
      </c>
    </row>
    <row r="173" ht="30" customHeight="1">
      <c r="A173" s="78" t="inlineStr">
        <is>
          <t>EDB_S6_2022_CHART25_OUTSIDE_HK_SHARE</t>
        </is>
      </c>
      <c r="B173" s="78" t="inlineStr">
        <is>
          <t>Chart 2.5｜香港以外全日制求學比例</t>
        </is>
      </c>
      <c r="C173" s="78" t="inlineStr">
        <is>
          <t>2022</t>
        </is>
      </c>
      <c r="D173" s="78" t="inlineStr">
        <is>
          <t>中學後／中六畢業出口</t>
        </is>
      </c>
      <c r="E173" s="78" t="inlineStr">
        <is>
          <t>EDB指定本地普通中學日校之有回應中六畢業生；按指標另註</t>
        </is>
      </c>
      <c r="F173" s="78" t="inlineStr">
        <is>
          <t>4789</t>
        </is>
      </c>
      <c r="G173" s="78" t="inlineStr">
        <is>
          <t>38610</t>
        </is>
      </c>
      <c r="H173" s="78" t="inlineStr">
        <is>
          <t>12.4</t>
        </is>
      </c>
      <c r="I173" s="78" t="inlineStr">
        <is>
          <t>%</t>
        </is>
      </c>
      <c r="J173" s="78" t="inlineStr">
        <is>
          <t>官方公布比例</t>
        </is>
      </c>
      <c r="K173" s="78" t="inlineStr">
        <is>
          <t>EDB-S6-2022</t>
        </is>
      </c>
      <c r="L173" s="78" t="inlineStr">
        <is>
          <t>PDF p.16（印刷頁11），Chart 2.5</t>
        </is>
      </c>
      <c r="M173" s="78" t="inlineStr">
        <is>
          <t>分母為同屆全日制求學者；只代表10月調查狀況。</t>
        </is>
      </c>
      <c r="N173" s="78" t="inlineStr">
        <is>
          <t>已從官方PDF逐表轉錄並經加總／視覺核對</t>
        </is>
      </c>
    </row>
    <row r="174" ht="30" customHeight="1">
      <c r="A174" s="77" t="inlineStr">
        <is>
          <t>EDB_S6_2022_CHART25_HONG_KONG_COUNT</t>
        </is>
      </c>
      <c r="B174" s="77" t="inlineStr">
        <is>
          <t>Chart 2.5｜香港全日制求學人數</t>
        </is>
      </c>
      <c r="C174" s="77" t="inlineStr">
        <is>
          <t>2022</t>
        </is>
      </c>
      <c r="D174" s="77" t="inlineStr">
        <is>
          <t>中學後／中六畢業出口</t>
        </is>
      </c>
      <c r="E174" s="77" t="inlineStr">
        <is>
          <t>EDB指定本地普通中學日校之有回應中六畢業生；按指標另註</t>
        </is>
      </c>
      <c r="F174" s="77" t="inlineStr">
        <is>
          <t>33821</t>
        </is>
      </c>
      <c r="G174" s="77" t="inlineStr">
        <is>
          <t>38610</t>
        </is>
      </c>
      <c r="H174" s="77" t="inlineStr">
        <is>
          <t>33821</t>
        </is>
      </c>
      <c r="I174" s="77" t="inlineStr">
        <is>
          <t>人</t>
        </is>
      </c>
      <c r="J174" s="77" t="inlineStr">
        <is>
          <t>官方照錄</t>
        </is>
      </c>
      <c r="K174" s="77" t="inlineStr">
        <is>
          <t>EDB-S6-2022</t>
        </is>
      </c>
      <c r="L174" s="77" t="inlineStr">
        <is>
          <t>PDF p.16（印刷頁11），Chart 2.5</t>
        </is>
      </c>
      <c r="M174" s="77" t="inlineStr">
        <is>
          <t>分母為同屆全日制求學者；只代表10月調查狀況。</t>
        </is>
      </c>
      <c r="N174" s="77" t="inlineStr">
        <is>
          <t>已從官方PDF逐表轉錄並經加總／視覺核對</t>
        </is>
      </c>
    </row>
    <row r="175" ht="30" customHeight="1">
      <c r="A175" s="78" t="inlineStr">
        <is>
          <t>EDB_S6_2022_CHART25_HONG_KONG_SHARE</t>
        </is>
      </c>
      <c r="B175" s="78" t="inlineStr">
        <is>
          <t>Chart 2.5｜香港全日制求學比例</t>
        </is>
      </c>
      <c r="C175" s="78" t="inlineStr">
        <is>
          <t>2022</t>
        </is>
      </c>
      <c r="D175" s="78" t="inlineStr">
        <is>
          <t>中學後／中六畢業出口</t>
        </is>
      </c>
      <c r="E175" s="78" t="inlineStr">
        <is>
          <t>EDB指定本地普通中學日校之有回應中六畢業生；按指標另註</t>
        </is>
      </c>
      <c r="F175" s="78" t="inlineStr">
        <is>
          <t>33821</t>
        </is>
      </c>
      <c r="G175" s="78" t="inlineStr">
        <is>
          <t>38610</t>
        </is>
      </c>
      <c r="H175" s="78" t="inlineStr">
        <is>
          <t>87.6</t>
        </is>
      </c>
      <c r="I175" s="78" t="inlineStr">
        <is>
          <t>%</t>
        </is>
      </c>
      <c r="J175" s="78" t="inlineStr">
        <is>
          <t>官方公布比例</t>
        </is>
      </c>
      <c r="K175" s="78" t="inlineStr">
        <is>
          <t>EDB-S6-2022</t>
        </is>
      </c>
      <c r="L175" s="78" t="inlineStr">
        <is>
          <t>PDF p.16（印刷頁11），Chart 2.5</t>
        </is>
      </c>
      <c r="M175" s="78" t="inlineStr">
        <is>
          <t>分母為同屆全日制求學者；只代表10月調查狀況。</t>
        </is>
      </c>
      <c r="N175" s="78" t="inlineStr">
        <is>
          <t>已從官方PDF逐表轉錄並經加總／視覺核對</t>
        </is>
      </c>
    </row>
    <row r="176" ht="30" customHeight="1">
      <c r="A176" s="77" t="inlineStr">
        <is>
          <t>EDB_S6_2022_T23_MAINLAND_COUNT</t>
        </is>
      </c>
      <c r="B176" s="77" t="inlineStr">
        <is>
          <t>表2.3｜中國內地全日制升學人數</t>
        </is>
      </c>
      <c r="C176" s="77" t="inlineStr">
        <is>
          <t>2022</t>
        </is>
      </c>
      <c r="D176" s="77" t="inlineStr">
        <is>
          <t>中學後／中六畢業出口</t>
        </is>
      </c>
      <c r="E176" s="77" t="inlineStr">
        <is>
          <t>EDB指定本地普通中學日校之有回應中六畢業生；按指標另註</t>
        </is>
      </c>
      <c r="F176" s="77" t="inlineStr">
        <is>
          <t>1869</t>
        </is>
      </c>
      <c r="G176" s="77" t="inlineStr">
        <is>
          <t>4789</t>
        </is>
      </c>
      <c r="H176" s="77" t="inlineStr">
        <is>
          <t>1869</t>
        </is>
      </c>
      <c r="I176" s="77" t="inlineStr">
        <is>
          <t>人</t>
        </is>
      </c>
      <c r="J176" s="77" t="inlineStr">
        <is>
          <t>官方照錄</t>
        </is>
      </c>
      <c r="K176" s="77" t="inlineStr">
        <is>
          <t>EDB-S6-2022</t>
        </is>
      </c>
      <c r="L176" s="77" t="inlineStr">
        <is>
          <t>PDF p.19（印刷頁14），Table 2.3</t>
        </is>
      </c>
      <c r="M176" s="77" t="inlineStr">
        <is>
          <t>分母為全體境外全日制求學者；不是全部S6畢業生。</t>
        </is>
      </c>
      <c r="N176" s="77" t="inlineStr">
        <is>
          <t>已從官方PDF逐表轉錄並經加總／視覺核對</t>
        </is>
      </c>
    </row>
    <row r="177" ht="30" customHeight="1">
      <c r="A177" s="78" t="inlineStr">
        <is>
          <t>EDB_S6_2022_T23_MAINLAND_SHARE</t>
        </is>
      </c>
      <c r="B177" s="78" t="inlineStr">
        <is>
          <t>表2.3｜中國內地佔境外升學者比例</t>
        </is>
      </c>
      <c r="C177" s="78" t="inlineStr">
        <is>
          <t>2022</t>
        </is>
      </c>
      <c r="D177" s="78" t="inlineStr">
        <is>
          <t>中學後／中六畢業出口</t>
        </is>
      </c>
      <c r="E177" s="78" t="inlineStr">
        <is>
          <t>EDB指定本地普通中學日校之有回應中六畢業生；按指標另註</t>
        </is>
      </c>
      <c r="F177" s="78" t="inlineStr">
        <is>
          <t>1869</t>
        </is>
      </c>
      <c r="G177" s="78" t="inlineStr">
        <is>
          <t>4789</t>
        </is>
      </c>
      <c r="H177" s="78" t="inlineStr">
        <is>
          <t>39.0</t>
        </is>
      </c>
      <c r="I177" s="78" t="inlineStr">
        <is>
          <t>%</t>
        </is>
      </c>
      <c r="J177" s="78" t="inlineStr">
        <is>
          <t>官方公布比例</t>
        </is>
      </c>
      <c r="K177" s="78" t="inlineStr">
        <is>
          <t>EDB-S6-2022</t>
        </is>
      </c>
      <c r="L177" s="78" t="inlineStr">
        <is>
          <t>PDF p.19（印刷頁14），Table 2.3</t>
        </is>
      </c>
      <c r="M177" s="78" t="inlineStr">
        <is>
          <t>分母為全體境外全日制求學者；不可解讀成全體畢業生比例。</t>
        </is>
      </c>
      <c r="N177" s="78" t="inlineStr">
        <is>
          <t>已從官方PDF逐表轉錄並經加總／視覺核對</t>
        </is>
      </c>
    </row>
    <row r="178" ht="30" customHeight="1">
      <c r="A178" s="77" t="inlineStr">
        <is>
          <t>EDB_S6_2022_T23_UK_COUNT</t>
        </is>
      </c>
      <c r="B178" s="77" t="inlineStr">
        <is>
          <t>表2.3｜英國全日制升學人數</t>
        </is>
      </c>
      <c r="C178" s="77" t="inlineStr">
        <is>
          <t>2022</t>
        </is>
      </c>
      <c r="D178" s="77" t="inlineStr">
        <is>
          <t>中學後／中六畢業出口</t>
        </is>
      </c>
      <c r="E178" s="77" t="inlineStr">
        <is>
          <t>EDB指定本地普通中學日校之有回應中六畢業生；按指標另註</t>
        </is>
      </c>
      <c r="F178" s="77" t="inlineStr">
        <is>
          <t>1113</t>
        </is>
      </c>
      <c r="G178" s="77" t="inlineStr">
        <is>
          <t>4789</t>
        </is>
      </c>
      <c r="H178" s="77" t="inlineStr">
        <is>
          <t>1113</t>
        </is>
      </c>
      <c r="I178" s="77" t="inlineStr">
        <is>
          <t>人</t>
        </is>
      </c>
      <c r="J178" s="77" t="inlineStr">
        <is>
          <t>官方照錄</t>
        </is>
      </c>
      <c r="K178" s="77" t="inlineStr">
        <is>
          <t>EDB-S6-2022</t>
        </is>
      </c>
      <c r="L178" s="77" t="inlineStr">
        <is>
          <t>PDF p.19（印刷頁14），Table 2.3</t>
        </is>
      </c>
      <c r="M178" s="77" t="inlineStr">
        <is>
          <t>分母為全體境外全日制求學者；不是全部S6畢業生。</t>
        </is>
      </c>
      <c r="N178" s="77" t="inlineStr">
        <is>
          <t>已從官方PDF逐表轉錄並經加總／視覺核對</t>
        </is>
      </c>
    </row>
    <row r="179" ht="30" customHeight="1">
      <c r="A179" s="78" t="inlineStr">
        <is>
          <t>EDB_S6_2022_T23_UK_SHARE</t>
        </is>
      </c>
      <c r="B179" s="78" t="inlineStr">
        <is>
          <t>表2.3｜英國佔境外升學者比例</t>
        </is>
      </c>
      <c r="C179" s="78" t="inlineStr">
        <is>
          <t>2022</t>
        </is>
      </c>
      <c r="D179" s="78" t="inlineStr">
        <is>
          <t>中學後／中六畢業出口</t>
        </is>
      </c>
      <c r="E179" s="78" t="inlineStr">
        <is>
          <t>EDB指定本地普通中學日校之有回應中六畢業生；按指標另註</t>
        </is>
      </c>
      <c r="F179" s="78" t="inlineStr">
        <is>
          <t>1113</t>
        </is>
      </c>
      <c r="G179" s="78" t="inlineStr">
        <is>
          <t>4789</t>
        </is>
      </c>
      <c r="H179" s="78" t="inlineStr">
        <is>
          <t>23.2</t>
        </is>
      </c>
      <c r="I179" s="78" t="inlineStr">
        <is>
          <t>%</t>
        </is>
      </c>
      <c r="J179" s="78" t="inlineStr">
        <is>
          <t>官方公布比例</t>
        </is>
      </c>
      <c r="K179" s="78" t="inlineStr">
        <is>
          <t>EDB-S6-2022</t>
        </is>
      </c>
      <c r="L179" s="78" t="inlineStr">
        <is>
          <t>PDF p.19（印刷頁14），Table 2.3</t>
        </is>
      </c>
      <c r="M179" s="78" t="inlineStr">
        <is>
          <t>分母為全體境外全日制求學者；不可解讀成全體畢業生比例。</t>
        </is>
      </c>
      <c r="N179" s="78" t="inlineStr">
        <is>
          <t>已從官方PDF逐表轉錄並經加總／視覺核對</t>
        </is>
      </c>
    </row>
    <row r="180" ht="30" customHeight="1">
      <c r="A180" s="77" t="inlineStr">
        <is>
          <t>EDB_S6_2022_T23_TAIWAN_COUNT</t>
        </is>
      </c>
      <c r="B180" s="77" t="inlineStr">
        <is>
          <t>表2.3｜台灣全日制升學人數</t>
        </is>
      </c>
      <c r="C180" s="77" t="inlineStr">
        <is>
          <t>2022</t>
        </is>
      </c>
      <c r="D180" s="77" t="inlineStr">
        <is>
          <t>中學後／中六畢業出口</t>
        </is>
      </c>
      <c r="E180" s="77" t="inlineStr">
        <is>
          <t>EDB指定本地普通中學日校之有回應中六畢業生；按指標另註</t>
        </is>
      </c>
      <c r="F180" s="77" t="inlineStr">
        <is>
          <t>794</t>
        </is>
      </c>
      <c r="G180" s="77" t="inlineStr">
        <is>
          <t>4789</t>
        </is>
      </c>
      <c r="H180" s="77" t="inlineStr">
        <is>
          <t>794</t>
        </is>
      </c>
      <c r="I180" s="77" t="inlineStr">
        <is>
          <t>人</t>
        </is>
      </c>
      <c r="J180" s="77" t="inlineStr">
        <is>
          <t>官方照錄</t>
        </is>
      </c>
      <c r="K180" s="77" t="inlineStr">
        <is>
          <t>EDB-S6-2022</t>
        </is>
      </c>
      <c r="L180" s="77" t="inlineStr">
        <is>
          <t>PDF p.19（印刷頁14），Table 2.3</t>
        </is>
      </c>
      <c r="M180" s="77" t="inlineStr">
        <is>
          <t>分母為全體境外全日制求學者；不是全部S6畢業生。</t>
        </is>
      </c>
      <c r="N180" s="77" t="inlineStr">
        <is>
          <t>已從官方PDF逐表轉錄並經加總／視覺核對</t>
        </is>
      </c>
    </row>
    <row r="181" ht="30" customHeight="1">
      <c r="A181" s="78" t="inlineStr">
        <is>
          <t>EDB_S6_2022_T23_TAIWAN_SHARE</t>
        </is>
      </c>
      <c r="B181" s="78" t="inlineStr">
        <is>
          <t>表2.3｜台灣佔境外升學者比例</t>
        </is>
      </c>
      <c r="C181" s="78" t="inlineStr">
        <is>
          <t>2022</t>
        </is>
      </c>
      <c r="D181" s="78" t="inlineStr">
        <is>
          <t>中學後／中六畢業出口</t>
        </is>
      </c>
      <c r="E181" s="78" t="inlineStr">
        <is>
          <t>EDB指定本地普通中學日校之有回應中六畢業生；按指標另註</t>
        </is>
      </c>
      <c r="F181" s="78" t="inlineStr">
        <is>
          <t>794</t>
        </is>
      </c>
      <c r="G181" s="78" t="inlineStr">
        <is>
          <t>4789</t>
        </is>
      </c>
      <c r="H181" s="78" t="inlineStr">
        <is>
          <t>16.6</t>
        </is>
      </c>
      <c r="I181" s="78" t="inlineStr">
        <is>
          <t>%</t>
        </is>
      </c>
      <c r="J181" s="78" t="inlineStr">
        <is>
          <t>官方公布比例</t>
        </is>
      </c>
      <c r="K181" s="78" t="inlineStr">
        <is>
          <t>EDB-S6-2022</t>
        </is>
      </c>
      <c r="L181" s="78" t="inlineStr">
        <is>
          <t>PDF p.19（印刷頁14），Table 2.3</t>
        </is>
      </c>
      <c r="M181" s="78" t="inlineStr">
        <is>
          <t>分母為全體境外全日制求學者；不可解讀成全體畢業生比例。</t>
        </is>
      </c>
      <c r="N181" s="78" t="inlineStr">
        <is>
          <t>已從官方PDF逐表轉錄並經加總／視覺核對</t>
        </is>
      </c>
    </row>
    <row r="182" ht="30" customHeight="1">
      <c r="A182" s="77" t="inlineStr">
        <is>
          <t>EDB_S6_2022_T23_AUSTRALIA_COUNT</t>
        </is>
      </c>
      <c r="B182" s="77" t="inlineStr">
        <is>
          <t>表2.3｜澳洲全日制升學人數</t>
        </is>
      </c>
      <c r="C182" s="77" t="inlineStr">
        <is>
          <t>2022</t>
        </is>
      </c>
      <c r="D182" s="77" t="inlineStr">
        <is>
          <t>中學後／中六畢業出口</t>
        </is>
      </c>
      <c r="E182" s="77" t="inlineStr">
        <is>
          <t>EDB指定本地普通中學日校之有回應中六畢業生；按指標另註</t>
        </is>
      </c>
      <c r="F182" s="77" t="inlineStr">
        <is>
          <t>421</t>
        </is>
      </c>
      <c r="G182" s="77" t="inlineStr">
        <is>
          <t>4789</t>
        </is>
      </c>
      <c r="H182" s="77" t="inlineStr">
        <is>
          <t>421</t>
        </is>
      </c>
      <c r="I182" s="77" t="inlineStr">
        <is>
          <t>人</t>
        </is>
      </c>
      <c r="J182" s="77" t="inlineStr">
        <is>
          <t>官方照錄</t>
        </is>
      </c>
      <c r="K182" s="77" t="inlineStr">
        <is>
          <t>EDB-S6-2022</t>
        </is>
      </c>
      <c r="L182" s="77" t="inlineStr">
        <is>
          <t>PDF p.19（印刷頁14），Table 2.3</t>
        </is>
      </c>
      <c r="M182" s="77" t="inlineStr">
        <is>
          <t>分母為全體境外全日制求學者；不是全部S6畢業生。</t>
        </is>
      </c>
      <c r="N182" s="77" t="inlineStr">
        <is>
          <t>已從官方PDF逐表轉錄並經加總／視覺核對</t>
        </is>
      </c>
    </row>
    <row r="183" ht="30" customHeight="1">
      <c r="A183" s="78" t="inlineStr">
        <is>
          <t>EDB_S6_2022_T23_AUSTRALIA_SHARE</t>
        </is>
      </c>
      <c r="B183" s="78" t="inlineStr">
        <is>
          <t>表2.3｜澳洲佔境外升學者比例</t>
        </is>
      </c>
      <c r="C183" s="78" t="inlineStr">
        <is>
          <t>2022</t>
        </is>
      </c>
      <c r="D183" s="78" t="inlineStr">
        <is>
          <t>中學後／中六畢業出口</t>
        </is>
      </c>
      <c r="E183" s="78" t="inlineStr">
        <is>
          <t>EDB指定本地普通中學日校之有回應中六畢業生；按指標另註</t>
        </is>
      </c>
      <c r="F183" s="78" t="inlineStr">
        <is>
          <t>421</t>
        </is>
      </c>
      <c r="G183" s="78" t="inlineStr">
        <is>
          <t>4789</t>
        </is>
      </c>
      <c r="H183" s="78" t="inlineStr">
        <is>
          <t>8.8</t>
        </is>
      </c>
      <c r="I183" s="78" t="inlineStr">
        <is>
          <t>%</t>
        </is>
      </c>
      <c r="J183" s="78" t="inlineStr">
        <is>
          <t>官方公布比例</t>
        </is>
      </c>
      <c r="K183" s="78" t="inlineStr">
        <is>
          <t>EDB-S6-2022</t>
        </is>
      </c>
      <c r="L183" s="78" t="inlineStr">
        <is>
          <t>PDF p.19（印刷頁14），Table 2.3</t>
        </is>
      </c>
      <c r="M183" s="78" t="inlineStr">
        <is>
          <t>分母為全體境外全日制求學者；不可解讀成全體畢業生比例。</t>
        </is>
      </c>
      <c r="N183" s="78" t="inlineStr">
        <is>
          <t>已從官方PDF逐表轉錄並經加總／視覺核對</t>
        </is>
      </c>
    </row>
    <row r="184" ht="30" customHeight="1">
      <c r="A184" s="77" t="inlineStr">
        <is>
          <t>EDB_S6_2022_T23_CANADA_COUNT</t>
        </is>
      </c>
      <c r="B184" s="77" t="inlineStr">
        <is>
          <t>表2.3｜加拿大全日制升學人數</t>
        </is>
      </c>
      <c r="C184" s="77" t="inlineStr">
        <is>
          <t>2022</t>
        </is>
      </c>
      <c r="D184" s="77" t="inlineStr">
        <is>
          <t>中學後／中六畢業出口</t>
        </is>
      </c>
      <c r="E184" s="77" t="inlineStr">
        <is>
          <t>EDB指定本地普通中學日校之有回應中六畢業生；按指標另註</t>
        </is>
      </c>
      <c r="F184" s="77" t="inlineStr">
        <is>
          <t>251</t>
        </is>
      </c>
      <c r="G184" s="77" t="inlineStr">
        <is>
          <t>4789</t>
        </is>
      </c>
      <c r="H184" s="77" t="inlineStr">
        <is>
          <t>251</t>
        </is>
      </c>
      <c r="I184" s="77" t="inlineStr">
        <is>
          <t>人</t>
        </is>
      </c>
      <c r="J184" s="77" t="inlineStr">
        <is>
          <t>官方照錄</t>
        </is>
      </c>
      <c r="K184" s="77" t="inlineStr">
        <is>
          <t>EDB-S6-2022</t>
        </is>
      </c>
      <c r="L184" s="77" t="inlineStr">
        <is>
          <t>PDF p.19（印刷頁14），Table 2.3</t>
        </is>
      </c>
      <c r="M184" s="77" t="inlineStr">
        <is>
          <t>分母為全體境外全日制求學者；不是全部S6畢業生。</t>
        </is>
      </c>
      <c r="N184" s="77" t="inlineStr">
        <is>
          <t>已從官方PDF逐表轉錄並經加總／視覺核對</t>
        </is>
      </c>
    </row>
    <row r="185" ht="30" customHeight="1">
      <c r="A185" s="78" t="inlineStr">
        <is>
          <t>EDB_S6_2022_T23_CANADA_SHARE</t>
        </is>
      </c>
      <c r="B185" s="78" t="inlineStr">
        <is>
          <t>表2.3｜加拿大佔境外升學者比例</t>
        </is>
      </c>
      <c r="C185" s="78" t="inlineStr">
        <is>
          <t>2022</t>
        </is>
      </c>
      <c r="D185" s="78" t="inlineStr">
        <is>
          <t>中學後／中六畢業出口</t>
        </is>
      </c>
      <c r="E185" s="78" t="inlineStr">
        <is>
          <t>EDB指定本地普通中學日校之有回應中六畢業生；按指標另註</t>
        </is>
      </c>
      <c r="F185" s="78" t="inlineStr">
        <is>
          <t>251</t>
        </is>
      </c>
      <c r="G185" s="78" t="inlineStr">
        <is>
          <t>4789</t>
        </is>
      </c>
      <c r="H185" s="78" t="inlineStr">
        <is>
          <t>5.2</t>
        </is>
      </c>
      <c r="I185" s="78" t="inlineStr">
        <is>
          <t>%</t>
        </is>
      </c>
      <c r="J185" s="78" t="inlineStr">
        <is>
          <t>官方公布比例</t>
        </is>
      </c>
      <c r="K185" s="78" t="inlineStr">
        <is>
          <t>EDB-S6-2022</t>
        </is>
      </c>
      <c r="L185" s="78" t="inlineStr">
        <is>
          <t>PDF p.19（印刷頁14），Table 2.3</t>
        </is>
      </c>
      <c r="M185" s="78" t="inlineStr">
        <is>
          <t>分母為全體境外全日制求學者；不可解讀成全體畢業生比例。</t>
        </is>
      </c>
      <c r="N185" s="78" t="inlineStr">
        <is>
          <t>已從官方PDF逐表轉錄並經加總／視覺核對</t>
        </is>
      </c>
    </row>
    <row r="186" ht="30" customHeight="1">
      <c r="A186" s="77" t="inlineStr">
        <is>
          <t>EDB_S6_2022_T23_US_COUNT</t>
        </is>
      </c>
      <c r="B186" s="77" t="inlineStr">
        <is>
          <t>表2.3｜美國全日制升學人數</t>
        </is>
      </c>
      <c r="C186" s="77" t="inlineStr">
        <is>
          <t>2022</t>
        </is>
      </c>
      <c r="D186" s="77" t="inlineStr">
        <is>
          <t>中學後／中六畢業出口</t>
        </is>
      </c>
      <c r="E186" s="77" t="inlineStr">
        <is>
          <t>EDB指定本地普通中學日校之有回應中六畢業生；按指標另註</t>
        </is>
      </c>
      <c r="F186" s="77" t="inlineStr">
        <is>
          <t>107</t>
        </is>
      </c>
      <c r="G186" s="77" t="inlineStr">
        <is>
          <t>4789</t>
        </is>
      </c>
      <c r="H186" s="77" t="inlineStr">
        <is>
          <t>107</t>
        </is>
      </c>
      <c r="I186" s="77" t="inlineStr">
        <is>
          <t>人</t>
        </is>
      </c>
      <c r="J186" s="77" t="inlineStr">
        <is>
          <t>官方照錄</t>
        </is>
      </c>
      <c r="K186" s="77" t="inlineStr">
        <is>
          <t>EDB-S6-2022</t>
        </is>
      </c>
      <c r="L186" s="77" t="inlineStr">
        <is>
          <t>PDF p.19（印刷頁14），Table 2.3</t>
        </is>
      </c>
      <c r="M186" s="77" t="inlineStr">
        <is>
          <t>分母為全體境外全日制求學者；不是全部S6畢業生。</t>
        </is>
      </c>
      <c r="N186" s="77" t="inlineStr">
        <is>
          <t>已從官方PDF逐表轉錄並經加總／視覺核對</t>
        </is>
      </c>
    </row>
    <row r="187" ht="30" customHeight="1">
      <c r="A187" s="78" t="inlineStr">
        <is>
          <t>EDB_S6_2022_T23_US_SHARE</t>
        </is>
      </c>
      <c r="B187" s="78" t="inlineStr">
        <is>
          <t>表2.3｜美國佔境外升學者比例</t>
        </is>
      </c>
      <c r="C187" s="78" t="inlineStr">
        <is>
          <t>2022</t>
        </is>
      </c>
      <c r="D187" s="78" t="inlineStr">
        <is>
          <t>中學後／中六畢業出口</t>
        </is>
      </c>
      <c r="E187" s="78" t="inlineStr">
        <is>
          <t>EDB指定本地普通中學日校之有回應中六畢業生；按指標另註</t>
        </is>
      </c>
      <c r="F187" s="78" t="inlineStr">
        <is>
          <t>107</t>
        </is>
      </c>
      <c r="G187" s="78" t="inlineStr">
        <is>
          <t>4789</t>
        </is>
      </c>
      <c r="H187" s="78" t="inlineStr">
        <is>
          <t>2.2</t>
        </is>
      </c>
      <c r="I187" s="78" t="inlineStr">
        <is>
          <t>%</t>
        </is>
      </c>
      <c r="J187" s="78" t="inlineStr">
        <is>
          <t>官方公布比例</t>
        </is>
      </c>
      <c r="K187" s="78" t="inlineStr">
        <is>
          <t>EDB-S6-2022</t>
        </is>
      </c>
      <c r="L187" s="78" t="inlineStr">
        <is>
          <t>PDF p.19（印刷頁14），Table 2.3</t>
        </is>
      </c>
      <c r="M187" s="78" t="inlineStr">
        <is>
          <t>分母為全體境外全日制求學者；不可解讀成全體畢業生比例。</t>
        </is>
      </c>
      <c r="N187" s="78" t="inlineStr">
        <is>
          <t>已從官方PDF逐表轉錄並經加總／視覺核對</t>
        </is>
      </c>
    </row>
    <row r="188" ht="30" customHeight="1">
      <c r="A188" s="77" t="inlineStr">
        <is>
          <t>EDB_S6_2022_T23_OTHERS_COUNT</t>
        </is>
      </c>
      <c r="B188" s="77" t="inlineStr">
        <is>
          <t>表2.3｜其他全日制升學人數</t>
        </is>
      </c>
      <c r="C188" s="77" t="inlineStr">
        <is>
          <t>2022</t>
        </is>
      </c>
      <c r="D188" s="77" t="inlineStr">
        <is>
          <t>中學後／中六畢業出口</t>
        </is>
      </c>
      <c r="E188" s="77" t="inlineStr">
        <is>
          <t>EDB指定本地普通中學日校之有回應中六畢業生；按指標另註</t>
        </is>
      </c>
      <c r="F188" s="77" t="inlineStr">
        <is>
          <t>234</t>
        </is>
      </c>
      <c r="G188" s="77" t="inlineStr">
        <is>
          <t>4789</t>
        </is>
      </c>
      <c r="H188" s="77" t="inlineStr">
        <is>
          <t>234</t>
        </is>
      </c>
      <c r="I188" s="77" t="inlineStr">
        <is>
          <t>人</t>
        </is>
      </c>
      <c r="J188" s="77" t="inlineStr">
        <is>
          <t>官方照錄</t>
        </is>
      </c>
      <c r="K188" s="77" t="inlineStr">
        <is>
          <t>EDB-S6-2022</t>
        </is>
      </c>
      <c r="L188" s="77" t="inlineStr">
        <is>
          <t>PDF p.19（印刷頁14），Table 2.3</t>
        </is>
      </c>
      <c r="M188" s="77" t="inlineStr">
        <is>
          <t>分母為全體境外全日制求學者；不是全部S6畢業生。</t>
        </is>
      </c>
      <c r="N188" s="77" t="inlineStr">
        <is>
          <t>已從官方PDF逐表轉錄並經加總／視覺核對</t>
        </is>
      </c>
    </row>
    <row r="189" ht="30" customHeight="1">
      <c r="A189" s="78" t="inlineStr">
        <is>
          <t>EDB_S6_2022_T23_OTHERS_SHARE</t>
        </is>
      </c>
      <c r="B189" s="78" t="inlineStr">
        <is>
          <t>表2.3｜其他佔境外升學者比例</t>
        </is>
      </c>
      <c r="C189" s="78" t="inlineStr">
        <is>
          <t>2022</t>
        </is>
      </c>
      <c r="D189" s="78" t="inlineStr">
        <is>
          <t>中學後／中六畢業出口</t>
        </is>
      </c>
      <c r="E189" s="78" t="inlineStr">
        <is>
          <t>EDB指定本地普通中學日校之有回應中六畢業生；按指標另註</t>
        </is>
      </c>
      <c r="F189" s="78" t="inlineStr">
        <is>
          <t>234</t>
        </is>
      </c>
      <c r="G189" s="78" t="inlineStr">
        <is>
          <t>4789</t>
        </is>
      </c>
      <c r="H189" s="78" t="inlineStr">
        <is>
          <t>4.9</t>
        </is>
      </c>
      <c r="I189" s="78" t="inlineStr">
        <is>
          <t>%</t>
        </is>
      </c>
      <c r="J189" s="78" t="inlineStr">
        <is>
          <t>官方公布比例</t>
        </is>
      </c>
      <c r="K189" s="78" t="inlineStr">
        <is>
          <t>EDB-S6-2022</t>
        </is>
      </c>
      <c r="L189" s="78" t="inlineStr">
        <is>
          <t>PDF p.19（印刷頁14），Table 2.3</t>
        </is>
      </c>
      <c r="M189" s="78" t="inlineStr">
        <is>
          <t>分母為全體境外全日制求學者；不可解讀成全體畢業生比例。</t>
        </is>
      </c>
      <c r="N189" s="78" t="inlineStr">
        <is>
          <t>已從官方PDF逐表轉錄並經加總／視覺核對</t>
        </is>
      </c>
    </row>
    <row r="190" ht="30" customHeight="1">
      <c r="A190" s="77" t="inlineStr">
        <is>
          <t>EDB_S6_2022_T23_OUTSIDE_TOTAL_COUNT</t>
        </is>
      </c>
      <c r="B190" s="77" t="inlineStr">
        <is>
          <t>表2.3｜境外全日制求學合計</t>
        </is>
      </c>
      <c r="C190" s="77" t="inlineStr">
        <is>
          <t>2022</t>
        </is>
      </c>
      <c r="D190" s="77" t="inlineStr">
        <is>
          <t>中學後／中六畢業出口</t>
        </is>
      </c>
      <c r="E190" s="77" t="inlineStr">
        <is>
          <t>EDB指定本地普通中學日校之有回應中六畢業生；按指標另註</t>
        </is>
      </c>
      <c r="F190" s="77" t="inlineStr">
        <is>
          <t>4789</t>
        </is>
      </c>
      <c r="G190" s="77" t="inlineStr"/>
      <c r="H190" s="77" t="inlineStr">
        <is>
          <t>4789</t>
        </is>
      </c>
      <c r="I190" s="77" t="inlineStr">
        <is>
          <t>人</t>
        </is>
      </c>
      <c r="J190" s="77" t="inlineStr">
        <is>
          <t>官方照錄</t>
        </is>
      </c>
      <c r="K190" s="77" t="inlineStr">
        <is>
          <t>EDB-S6-2022</t>
        </is>
      </c>
      <c r="L190" s="77" t="inlineStr">
        <is>
          <t>PDF p.19（印刷頁14），Table 2.3總數行</t>
        </is>
      </c>
      <c r="M190" s="77" t="inlineStr">
        <is>
          <t>與Chart 2.5核對。</t>
        </is>
      </c>
      <c r="N190" s="77" t="inlineStr">
        <is>
          <t>已從官方PDF逐表轉錄並經加總／視覺核對</t>
        </is>
      </c>
    </row>
    <row r="191" ht="30" customHeight="1">
      <c r="A191" s="78" t="inlineStr">
        <is>
          <t>EDB_S6_2023_SCHOOLS</t>
        </is>
      </c>
      <c r="B191" s="78" t="inlineStr">
        <is>
          <t>納入調查的普通中學日校數</t>
        </is>
      </c>
      <c r="C191" s="78" t="inlineStr">
        <is>
          <t>2023</t>
        </is>
      </c>
      <c r="D191" s="78" t="inlineStr">
        <is>
          <t>中學後／中六畢業出口</t>
        </is>
      </c>
      <c r="E191" s="78" t="inlineStr">
        <is>
          <t>EDB指定本地普通中學日校之有回應中六畢業生；按指標另註</t>
        </is>
      </c>
      <c r="F191" s="78" t="inlineStr">
        <is>
          <t>449</t>
        </is>
      </c>
      <c r="G191" s="78" t="inlineStr"/>
      <c r="H191" s="78" t="inlineStr">
        <is>
          <t>449</t>
        </is>
      </c>
      <c r="I191" s="78" t="inlineStr">
        <is>
          <t>所</t>
        </is>
      </c>
      <c r="J191" s="78" t="inlineStr">
        <is>
          <t>官方照錄</t>
        </is>
      </c>
      <c r="K191" s="78" t="inlineStr">
        <is>
          <t>EDB-S6-2023</t>
        </is>
      </c>
      <c r="L191" s="78" t="inlineStr">
        <is>
          <t>PDF p.7（印刷頁2），段1.4</t>
        </is>
      </c>
      <c r="M191" s="78" t="inlineStr">
        <is>
          <t>只涵蓋有該屆畢業生且提供本地課程的本地普通中學日校。</t>
        </is>
      </c>
      <c r="N191" s="78" t="inlineStr">
        <is>
          <t>已從官方PDF逐表轉錄並經加總／視覺核對</t>
        </is>
      </c>
    </row>
    <row r="192" ht="30" customHeight="1">
      <c r="A192" s="77" t="inlineStr">
        <is>
          <t>EDB_S6_2023_TARGET_APPROX</t>
        </is>
      </c>
      <c r="B192" s="77" t="inlineStr">
        <is>
          <t>調查目標畢業生總數（約）</t>
        </is>
      </c>
      <c r="C192" s="77" t="inlineStr">
        <is>
          <t>2023</t>
        </is>
      </c>
      <c r="D192" s="77" t="inlineStr">
        <is>
          <t>中學後／中六畢業出口</t>
        </is>
      </c>
      <c r="E192" s="77" t="inlineStr">
        <is>
          <t>EDB指定本地普通中學日校之有回應中六畢業生；按指標另註</t>
        </is>
      </c>
      <c r="F192" s="77" t="inlineStr">
        <is>
          <t>42500</t>
        </is>
      </c>
      <c r="G192" s="77" t="inlineStr"/>
      <c r="H192" s="77" t="inlineStr">
        <is>
          <t>42500</t>
        </is>
      </c>
      <c r="I192" s="77" t="inlineStr">
        <is>
          <t>人（約）</t>
        </is>
      </c>
      <c r="J192" s="77" t="inlineStr">
        <is>
          <t>官方約數</t>
        </is>
      </c>
      <c r="K192" s="77" t="inlineStr">
        <is>
          <t>EDB-S6-2023</t>
        </is>
      </c>
      <c r="L192" s="77" t="inlineStr">
        <is>
          <t>PDF p.7（印刷頁2），段1.4</t>
        </is>
      </c>
      <c r="M192" s="77" t="inlineStr">
        <is>
          <t>EDB用some約數，不作精確回應率分母。</t>
        </is>
      </c>
      <c r="N192" s="77" t="inlineStr">
        <is>
          <t>已從官方PDF逐表轉錄並經加總／視覺核對</t>
        </is>
      </c>
    </row>
    <row r="193" ht="30" customHeight="1">
      <c r="A193" s="78" t="inlineStr">
        <is>
          <t>EDB_S6_2023_RESPONDENTS</t>
        </is>
      </c>
      <c r="B193" s="78" t="inlineStr">
        <is>
          <t>調查有回應畢業生</t>
        </is>
      </c>
      <c r="C193" s="78" t="inlineStr">
        <is>
          <t>2023</t>
        </is>
      </c>
      <c r="D193" s="78" t="inlineStr">
        <is>
          <t>中學後／中六畢業出口</t>
        </is>
      </c>
      <c r="E193" s="78" t="inlineStr">
        <is>
          <t>EDB指定本地普通中學日校之有回應中六畢業生；按指標另註</t>
        </is>
      </c>
      <c r="F193" s="78" t="inlineStr">
        <is>
          <t>40951</t>
        </is>
      </c>
      <c r="G193" s="78" t="inlineStr"/>
      <c r="H193" s="78" t="inlineStr">
        <is>
          <t>40951</t>
        </is>
      </c>
      <c r="I193" s="78" t="inlineStr">
        <is>
          <t>人</t>
        </is>
      </c>
      <c r="J193" s="78" t="inlineStr">
        <is>
          <t>官方照錄</t>
        </is>
      </c>
      <c r="K193" s="78" t="inlineStr">
        <is>
          <t>EDB-S6-2023</t>
        </is>
      </c>
      <c r="L193" s="78" t="inlineStr">
        <is>
          <t>PDF p.11（印刷頁6），Table 2.1總數</t>
        </is>
      </c>
      <c r="M193" s="78" t="inlineStr">
        <is>
          <t>表格精確分母；非目標全體人數。</t>
        </is>
      </c>
      <c r="N193" s="78" t="inlineStr">
        <is>
          <t>已從官方PDF逐表轉錄並經加總／視覺核對</t>
        </is>
      </c>
    </row>
    <row r="194" ht="30" customHeight="1">
      <c r="A194" s="77" t="inlineStr">
        <is>
          <t>EDB_S6_2023_RESPONSE_RATE</t>
        </is>
      </c>
      <c r="B194" s="77" t="inlineStr">
        <is>
          <t>調查回應率</t>
        </is>
      </c>
      <c r="C194" s="77" t="inlineStr">
        <is>
          <t>2023</t>
        </is>
      </c>
      <c r="D194" s="77" t="inlineStr">
        <is>
          <t>中學後／中六畢業出口</t>
        </is>
      </c>
      <c r="E194" s="77" t="inlineStr">
        <is>
          <t>EDB指定本地普通中學日校之有回應中六畢業生；按指標另註</t>
        </is>
      </c>
      <c r="F194" s="77" t="inlineStr"/>
      <c r="G194" s="77" t="inlineStr"/>
      <c r="H194" s="77" t="inlineStr">
        <is>
          <t>96.3</t>
        </is>
      </c>
      <c r="I194" s="77" t="inlineStr">
        <is>
          <t>%</t>
        </is>
      </c>
      <c r="J194" s="77" t="inlineStr">
        <is>
          <t>官方公布比例</t>
        </is>
      </c>
      <c r="K194" s="77" t="inlineStr">
        <is>
          <t>EDB-S6-2023</t>
        </is>
      </c>
      <c r="L194" s="77" t="inlineStr">
        <is>
          <t>PDF p.7（印刷頁2），段1.4</t>
        </is>
      </c>
      <c r="M194" s="77" t="inlineStr">
        <is>
          <t>照錄EDB公布值；不以目標約數反推。</t>
        </is>
      </c>
      <c r="N194" s="77" t="inlineStr">
        <is>
          <t>已從官方PDF逐表轉錄並經加總／視覺核對</t>
        </is>
      </c>
    </row>
    <row r="195" ht="30" customHeight="1">
      <c r="A195" s="78" t="inlineStr">
        <is>
          <t>EDB_S6_2023_T21_FULL_TIME_STUDY_ALL_COUNT</t>
        </is>
      </c>
      <c r="B195" s="78" t="inlineStr">
        <is>
          <t>表2.1｜全體有回應畢業生｜全日制求學人數</t>
        </is>
      </c>
      <c r="C195" s="78" t="inlineStr">
        <is>
          <t>2023</t>
        </is>
      </c>
      <c r="D195" s="78" t="inlineStr">
        <is>
          <t>中學後／中六畢業出口</t>
        </is>
      </c>
      <c r="E195" s="78" t="inlineStr">
        <is>
          <t>EDB指定本地普通中學日校之有回應中六畢業生；按指標另註</t>
        </is>
      </c>
      <c r="F195" s="78" t="inlineStr">
        <is>
          <t>38598</t>
        </is>
      </c>
      <c r="G195" s="78" t="inlineStr">
        <is>
          <t>40951</t>
        </is>
      </c>
      <c r="H195" s="78" t="inlineStr">
        <is>
          <t>38598</t>
        </is>
      </c>
      <c r="I195" s="78" t="inlineStr">
        <is>
          <t>人</t>
        </is>
      </c>
      <c r="J195" s="78" t="inlineStr">
        <is>
          <t>官方照錄</t>
        </is>
      </c>
      <c r="K195" s="78" t="inlineStr">
        <is>
          <t>EDB-S6-2023</t>
        </is>
      </c>
      <c r="L195" s="78" t="inlineStr">
        <is>
          <t>PDF p.11（印刷頁6），Table 2.1</t>
        </is>
      </c>
      <c r="M195" s="78" t="inlineStr">
        <is>
          <t>分母為同屆全體有回應畢業生；10月快照。</t>
        </is>
      </c>
      <c r="N195" s="78" t="inlineStr">
        <is>
          <t>已從官方PDF逐表轉錄並經加總／視覺核對</t>
        </is>
      </c>
    </row>
    <row r="196" ht="30" customHeight="1">
      <c r="A196" s="77" t="inlineStr">
        <is>
          <t>EDB_S6_2023_T21_FULL_TIME_STUDY_ALL_SHARE</t>
        </is>
      </c>
      <c r="B196" s="77" t="inlineStr">
        <is>
          <t>表2.1｜全體有回應畢業生｜全日制求學比例</t>
        </is>
      </c>
      <c r="C196" s="77" t="inlineStr">
        <is>
          <t>2023</t>
        </is>
      </c>
      <c r="D196" s="77" t="inlineStr">
        <is>
          <t>中學後／中六畢業出口</t>
        </is>
      </c>
      <c r="E196" s="77" t="inlineStr">
        <is>
          <t>EDB指定本地普通中學日校之有回應中六畢業生；按指標另註</t>
        </is>
      </c>
      <c r="F196" s="77" t="inlineStr">
        <is>
          <t>38598</t>
        </is>
      </c>
      <c r="G196" s="77" t="inlineStr">
        <is>
          <t>40951</t>
        </is>
      </c>
      <c r="H196" s="77" t="inlineStr">
        <is>
          <t>94.3</t>
        </is>
      </c>
      <c r="I196" s="77" t="inlineStr">
        <is>
          <t>%</t>
        </is>
      </c>
      <c r="J196" s="77" t="inlineStr">
        <is>
          <t>官方公布比例</t>
        </is>
      </c>
      <c r="K196" s="77" t="inlineStr">
        <is>
          <t>EDB-S6-2023</t>
        </is>
      </c>
      <c r="L196" s="77" t="inlineStr">
        <is>
          <t>PDF p.11（印刷頁6），Table 2.1</t>
        </is>
      </c>
      <c r="M196" s="77" t="inlineStr">
        <is>
          <t>保留EDB公布至小數一位的比例；不得當作終身結果。</t>
        </is>
      </c>
      <c r="N196" s="77" t="inlineStr">
        <is>
          <t>已從官方PDF逐表轉錄並經加總／視覺核對</t>
        </is>
      </c>
    </row>
    <row r="197" ht="30" customHeight="1">
      <c r="A197" s="78" t="inlineStr">
        <is>
          <t>EDB_S6_2023_T21_FULL_TIME_EMPLOYMENT_ALL_COUNT</t>
        </is>
      </c>
      <c r="B197" s="78" t="inlineStr">
        <is>
          <t>表2.1｜全體有回應畢業生｜全職工作人數</t>
        </is>
      </c>
      <c r="C197" s="78" t="inlineStr">
        <is>
          <t>2023</t>
        </is>
      </c>
      <c r="D197" s="78" t="inlineStr">
        <is>
          <t>中學後／中六畢業出口</t>
        </is>
      </c>
      <c r="E197" s="78" t="inlineStr">
        <is>
          <t>EDB指定本地普通中學日校之有回應中六畢業生；按指標另註</t>
        </is>
      </c>
      <c r="F197" s="78" t="inlineStr">
        <is>
          <t>1115</t>
        </is>
      </c>
      <c r="G197" s="78" t="inlineStr">
        <is>
          <t>40951</t>
        </is>
      </c>
      <c r="H197" s="78" t="inlineStr">
        <is>
          <t>1115</t>
        </is>
      </c>
      <c r="I197" s="78" t="inlineStr">
        <is>
          <t>人</t>
        </is>
      </c>
      <c r="J197" s="78" t="inlineStr">
        <is>
          <t>官方照錄</t>
        </is>
      </c>
      <c r="K197" s="78" t="inlineStr">
        <is>
          <t>EDB-S6-2023</t>
        </is>
      </c>
      <c r="L197" s="78" t="inlineStr">
        <is>
          <t>PDF p.11（印刷頁6），Table 2.1</t>
        </is>
      </c>
      <c r="M197" s="78" t="inlineStr">
        <is>
          <t>分母為同屆全體有回應畢業生；10月快照。</t>
        </is>
      </c>
      <c r="N197" s="78" t="inlineStr">
        <is>
          <t>已從官方PDF逐表轉錄並經加總／視覺核對</t>
        </is>
      </c>
    </row>
    <row r="198" ht="30" customHeight="1">
      <c r="A198" s="77" t="inlineStr">
        <is>
          <t>EDB_S6_2023_T21_FULL_TIME_EMPLOYMENT_ALL_SHARE</t>
        </is>
      </c>
      <c r="B198" s="77" t="inlineStr">
        <is>
          <t>表2.1｜全體有回應畢業生｜全職工作比例</t>
        </is>
      </c>
      <c r="C198" s="77" t="inlineStr">
        <is>
          <t>2023</t>
        </is>
      </c>
      <c r="D198" s="77" t="inlineStr">
        <is>
          <t>中學後／中六畢業出口</t>
        </is>
      </c>
      <c r="E198" s="77" t="inlineStr">
        <is>
          <t>EDB指定本地普通中學日校之有回應中六畢業生；按指標另註</t>
        </is>
      </c>
      <c r="F198" s="77" t="inlineStr">
        <is>
          <t>1115</t>
        </is>
      </c>
      <c r="G198" s="77" t="inlineStr">
        <is>
          <t>40951</t>
        </is>
      </c>
      <c r="H198" s="77" t="inlineStr">
        <is>
          <t>2.7</t>
        </is>
      </c>
      <c r="I198" s="77" t="inlineStr">
        <is>
          <t>%</t>
        </is>
      </c>
      <c r="J198" s="77" t="inlineStr">
        <is>
          <t>官方公布比例</t>
        </is>
      </c>
      <c r="K198" s="77" t="inlineStr">
        <is>
          <t>EDB-S6-2023</t>
        </is>
      </c>
      <c r="L198" s="77" t="inlineStr">
        <is>
          <t>PDF p.11（印刷頁6），Table 2.1</t>
        </is>
      </c>
      <c r="M198" s="77" t="inlineStr">
        <is>
          <t>保留EDB公布至小數一位的比例；不得當作終身結果。</t>
        </is>
      </c>
      <c r="N198" s="77" t="inlineStr">
        <is>
          <t>已從官方PDF逐表轉錄並經加總／視覺核對</t>
        </is>
      </c>
    </row>
    <row r="199" ht="30" customHeight="1">
      <c r="A199" s="78" t="inlineStr">
        <is>
          <t>EDB_S6_2023_T21_PART_TIME_EMPLOYMENT_STUDY_ALL_COUNT</t>
        </is>
      </c>
      <c r="B199" s="78" t="inlineStr">
        <is>
          <t>表2.1｜全體有回應畢業生｜部分時間工作／求學人數</t>
        </is>
      </c>
      <c r="C199" s="78" t="inlineStr">
        <is>
          <t>2023</t>
        </is>
      </c>
      <c r="D199" s="78" t="inlineStr">
        <is>
          <t>中學後／中六畢業出口</t>
        </is>
      </c>
      <c r="E199" s="78" t="inlineStr">
        <is>
          <t>EDB指定本地普通中學日校之有回應中六畢業生；按指標另註</t>
        </is>
      </c>
      <c r="F199" s="78" t="inlineStr">
        <is>
          <t>723</t>
        </is>
      </c>
      <c r="G199" s="78" t="inlineStr">
        <is>
          <t>40951</t>
        </is>
      </c>
      <c r="H199" s="78" t="inlineStr">
        <is>
          <t>723</t>
        </is>
      </c>
      <c r="I199" s="78" t="inlineStr">
        <is>
          <t>人</t>
        </is>
      </c>
      <c r="J199" s="78" t="inlineStr">
        <is>
          <t>官方照錄</t>
        </is>
      </c>
      <c r="K199" s="78" t="inlineStr">
        <is>
          <t>EDB-S6-2023</t>
        </is>
      </c>
      <c r="L199" s="78" t="inlineStr">
        <is>
          <t>PDF p.11（印刷頁6），Table 2.1</t>
        </is>
      </c>
      <c r="M199" s="78" t="inlineStr">
        <is>
          <t>分母為同屆全體有回應畢業生；10月快照。</t>
        </is>
      </c>
      <c r="N199" s="78" t="inlineStr">
        <is>
          <t>已從官方PDF逐表轉錄並經加總／視覺核對</t>
        </is>
      </c>
    </row>
    <row r="200" ht="30" customHeight="1">
      <c r="A200" s="77" t="inlineStr">
        <is>
          <t>EDB_S6_2023_T21_PART_TIME_EMPLOYMENT_STUDY_ALL_SHARE</t>
        </is>
      </c>
      <c r="B200" s="77" t="inlineStr">
        <is>
          <t>表2.1｜全體有回應畢業生｜部分時間工作／求學比例</t>
        </is>
      </c>
      <c r="C200" s="77" t="inlineStr">
        <is>
          <t>2023</t>
        </is>
      </c>
      <c r="D200" s="77" t="inlineStr">
        <is>
          <t>中學後／中六畢業出口</t>
        </is>
      </c>
      <c r="E200" s="77" t="inlineStr">
        <is>
          <t>EDB指定本地普通中學日校之有回應中六畢業生；按指標另註</t>
        </is>
      </c>
      <c r="F200" s="77" t="inlineStr">
        <is>
          <t>723</t>
        </is>
      </c>
      <c r="G200" s="77" t="inlineStr">
        <is>
          <t>40951</t>
        </is>
      </c>
      <c r="H200" s="77" t="inlineStr">
        <is>
          <t>1.8</t>
        </is>
      </c>
      <c r="I200" s="77" t="inlineStr">
        <is>
          <t>%</t>
        </is>
      </c>
      <c r="J200" s="77" t="inlineStr">
        <is>
          <t>官方公布比例</t>
        </is>
      </c>
      <c r="K200" s="77" t="inlineStr">
        <is>
          <t>EDB-S6-2023</t>
        </is>
      </c>
      <c r="L200" s="77" t="inlineStr">
        <is>
          <t>PDF p.11（印刷頁6），Table 2.1</t>
        </is>
      </c>
      <c r="M200" s="77" t="inlineStr">
        <is>
          <t>保留EDB公布至小數一位的比例；不得當作終身結果。</t>
        </is>
      </c>
      <c r="N200" s="77" t="inlineStr">
        <is>
          <t>已從官方PDF逐表轉錄並經加總／視覺核對</t>
        </is>
      </c>
    </row>
    <row r="201" ht="30" customHeight="1">
      <c r="A201" s="78" t="inlineStr">
        <is>
          <t>EDB_S6_2023_T21_NEITHER_EMPLOYMENT_NOR_STUDY_ALL_COUNT</t>
        </is>
      </c>
      <c r="B201" s="78" t="inlineStr">
        <is>
          <t>表2.1｜全體有回應畢業生｜既非工作亦非求學人數</t>
        </is>
      </c>
      <c r="C201" s="78" t="inlineStr">
        <is>
          <t>2023</t>
        </is>
      </c>
      <c r="D201" s="78" t="inlineStr">
        <is>
          <t>中學後／中六畢業出口</t>
        </is>
      </c>
      <c r="E201" s="78" t="inlineStr">
        <is>
          <t>EDB指定本地普通中學日校之有回應中六畢業生；按指標另註</t>
        </is>
      </c>
      <c r="F201" s="78" t="inlineStr">
        <is>
          <t>515</t>
        </is>
      </c>
      <c r="G201" s="78" t="inlineStr">
        <is>
          <t>40951</t>
        </is>
      </c>
      <c r="H201" s="78" t="inlineStr">
        <is>
          <t>515</t>
        </is>
      </c>
      <c r="I201" s="78" t="inlineStr">
        <is>
          <t>人</t>
        </is>
      </c>
      <c r="J201" s="78" t="inlineStr">
        <is>
          <t>官方照錄</t>
        </is>
      </c>
      <c r="K201" s="78" t="inlineStr">
        <is>
          <t>EDB-S6-2023</t>
        </is>
      </c>
      <c r="L201" s="78" t="inlineStr">
        <is>
          <t>PDF p.11（印刷頁6），Table 2.1</t>
        </is>
      </c>
      <c r="M201" s="78" t="inlineStr">
        <is>
          <t>分母為同屆全體有回應畢業生；10月快照。</t>
        </is>
      </c>
      <c r="N201" s="78" t="inlineStr">
        <is>
          <t>已從官方PDF逐表轉錄並經加總／視覺核對</t>
        </is>
      </c>
    </row>
    <row r="202" ht="30" customHeight="1">
      <c r="A202" s="77" t="inlineStr">
        <is>
          <t>EDB_S6_2023_T21_NEITHER_EMPLOYMENT_NOR_STUDY_ALL_SHARE</t>
        </is>
      </c>
      <c r="B202" s="77" t="inlineStr">
        <is>
          <t>表2.1｜全體有回應畢業生｜既非工作亦非求學比例</t>
        </is>
      </c>
      <c r="C202" s="77" t="inlineStr">
        <is>
          <t>2023</t>
        </is>
      </c>
      <c r="D202" s="77" t="inlineStr">
        <is>
          <t>中學後／中六畢業出口</t>
        </is>
      </c>
      <c r="E202" s="77" t="inlineStr">
        <is>
          <t>EDB指定本地普通中學日校之有回應中六畢業生；按指標另註</t>
        </is>
      </c>
      <c r="F202" s="77" t="inlineStr">
        <is>
          <t>515</t>
        </is>
      </c>
      <c r="G202" s="77" t="inlineStr">
        <is>
          <t>40951</t>
        </is>
      </c>
      <c r="H202" s="77" t="inlineStr">
        <is>
          <t>1.3</t>
        </is>
      </c>
      <c r="I202" s="77" t="inlineStr">
        <is>
          <t>%</t>
        </is>
      </c>
      <c r="J202" s="77" t="inlineStr">
        <is>
          <t>官方公布比例</t>
        </is>
      </c>
      <c r="K202" s="77" t="inlineStr">
        <is>
          <t>EDB-S6-2023</t>
        </is>
      </c>
      <c r="L202" s="77" t="inlineStr">
        <is>
          <t>PDF p.11（印刷頁6），Table 2.1</t>
        </is>
      </c>
      <c r="M202" s="77" t="inlineStr">
        <is>
          <t>保留EDB公布至小數一位的比例；不得當作終身結果。</t>
        </is>
      </c>
      <c r="N202" s="77" t="inlineStr">
        <is>
          <t>已從官方PDF逐表轉錄並經加總／視覺核對</t>
        </is>
      </c>
    </row>
    <row r="203" ht="30" customHeight="1">
      <c r="A203" s="78" t="inlineStr">
        <is>
          <t>EDB_S6_2023_T22_BACHELOR_COUNT</t>
        </is>
      </c>
      <c r="B203" s="78" t="inlineStr">
        <is>
          <t>表2.2｜全體全日制求學者｜學士學位課程人數</t>
        </is>
      </c>
      <c r="C203" s="78" t="inlineStr">
        <is>
          <t>2023</t>
        </is>
      </c>
      <c r="D203" s="78" t="inlineStr">
        <is>
          <t>中學後／中六畢業出口</t>
        </is>
      </c>
      <c r="E203" s="78" t="inlineStr">
        <is>
          <t>EDB指定本地普通中學日校之有回應中六畢業生；按指標另註</t>
        </is>
      </c>
      <c r="F203" s="78" t="inlineStr">
        <is>
          <t>18798</t>
        </is>
      </c>
      <c r="G203" s="78" t="inlineStr">
        <is>
          <t>38598</t>
        </is>
      </c>
      <c r="H203" s="78" t="inlineStr">
        <is>
          <t>18798</t>
        </is>
      </c>
      <c r="I203" s="78" t="inlineStr">
        <is>
          <t>人</t>
        </is>
      </c>
      <c r="J203" s="78" t="inlineStr">
        <is>
          <t>官方照錄</t>
        </is>
      </c>
      <c r="K203" s="78" t="inlineStr">
        <is>
          <t>EDB-S6-2023</t>
        </is>
      </c>
      <c r="L203" s="78" t="inlineStr">
        <is>
          <t>PDF p.14（印刷頁9），Table 2.2</t>
        </is>
      </c>
      <c r="M203" s="78" t="inlineStr">
        <is>
          <t>分母為全體全日制求學者；本科／專上分類包括公帑資助、自資及海外院校；不是政府資助學額或錄取率。</t>
        </is>
      </c>
      <c r="N203" s="78" t="inlineStr">
        <is>
          <t>已從官方PDF逐表轉錄並經加總／視覺核對</t>
        </is>
      </c>
    </row>
    <row r="204" ht="30" customHeight="1">
      <c r="A204" s="77" t="inlineStr">
        <is>
          <t>EDB_S6_2023_T22_BACHELOR_SHARE</t>
        </is>
      </c>
      <c r="B204" s="77" t="inlineStr">
        <is>
          <t>表2.2｜全體全日制求學者｜學士學位課程比例</t>
        </is>
      </c>
      <c r="C204" s="77" t="inlineStr">
        <is>
          <t>2023</t>
        </is>
      </c>
      <c r="D204" s="77" t="inlineStr">
        <is>
          <t>中學後／中六畢業出口</t>
        </is>
      </c>
      <c r="E204" s="77" t="inlineStr">
        <is>
          <t>EDB指定本地普通中學日校之有回應中六畢業生；按指標另註</t>
        </is>
      </c>
      <c r="F204" s="77" t="inlineStr">
        <is>
          <t>18798</t>
        </is>
      </c>
      <c r="G204" s="77" t="inlineStr">
        <is>
          <t>38598</t>
        </is>
      </c>
      <c r="H204" s="77" t="inlineStr">
        <is>
          <t>48.7</t>
        </is>
      </c>
      <c r="I204" s="77" t="inlineStr">
        <is>
          <t>%</t>
        </is>
      </c>
      <c r="J204" s="77" t="inlineStr">
        <is>
          <t>官方公布比例</t>
        </is>
      </c>
      <c r="K204" s="77" t="inlineStr">
        <is>
          <t>EDB-S6-2023</t>
        </is>
      </c>
      <c r="L204" s="77" t="inlineStr">
        <is>
          <t>PDF p.14（印刷頁9），Table 2.2</t>
        </is>
      </c>
      <c r="M204" s="77" t="inlineStr">
        <is>
          <t>分母為全體全日制求學者；本科／專上分類包括公帑資助、自資及海外院校；不是政府資助學額或錄取率。</t>
        </is>
      </c>
      <c r="N204" s="77" t="inlineStr">
        <is>
          <t>已從官方PDF逐表轉錄並經加總／視覺核對</t>
        </is>
      </c>
    </row>
    <row r="205" ht="30" customHeight="1">
      <c r="A205" s="78" t="inlineStr">
        <is>
          <t>EDB_S6_2023_T22_POSTSECONDARY_COUNT</t>
        </is>
      </c>
      <c r="B205" s="78" t="inlineStr">
        <is>
          <t>表2.2｜全體全日制求學者｜專上課程（副學士／高級文憑）人數</t>
        </is>
      </c>
      <c r="C205" s="78" t="inlineStr">
        <is>
          <t>2023</t>
        </is>
      </c>
      <c r="D205" s="78" t="inlineStr">
        <is>
          <t>中學後／中六畢業出口</t>
        </is>
      </c>
      <c r="E205" s="78" t="inlineStr">
        <is>
          <t>EDB指定本地普通中學日校之有回應中六畢業生；按指標另註</t>
        </is>
      </c>
      <c r="F205" s="78" t="inlineStr">
        <is>
          <t>11946</t>
        </is>
      </c>
      <c r="G205" s="78" t="inlineStr">
        <is>
          <t>38598</t>
        </is>
      </c>
      <c r="H205" s="78" t="inlineStr">
        <is>
          <t>11946</t>
        </is>
      </c>
      <c r="I205" s="78" t="inlineStr">
        <is>
          <t>人</t>
        </is>
      </c>
      <c r="J205" s="78" t="inlineStr">
        <is>
          <t>官方照錄</t>
        </is>
      </c>
      <c r="K205" s="78" t="inlineStr">
        <is>
          <t>EDB-S6-2023</t>
        </is>
      </c>
      <c r="L205" s="78" t="inlineStr">
        <is>
          <t>PDF p.14（印刷頁9），Table 2.2</t>
        </is>
      </c>
      <c r="M205" s="78" t="inlineStr">
        <is>
          <t>分母為全體全日制求學者；本科／專上分類包括公帑資助、自資及海外院校；不是政府資助學額或錄取率。</t>
        </is>
      </c>
      <c r="N205" s="78" t="inlineStr">
        <is>
          <t>已從官方PDF逐表轉錄並經加總／視覺核對</t>
        </is>
      </c>
    </row>
    <row r="206" ht="30" customHeight="1">
      <c r="A206" s="77" t="inlineStr">
        <is>
          <t>EDB_S6_2023_T22_POSTSECONDARY_SHARE</t>
        </is>
      </c>
      <c r="B206" s="77" t="inlineStr">
        <is>
          <t>表2.2｜全體全日制求學者｜專上課程（副學士／高級文憑）比例</t>
        </is>
      </c>
      <c r="C206" s="77" t="inlineStr">
        <is>
          <t>2023</t>
        </is>
      </c>
      <c r="D206" s="77" t="inlineStr">
        <is>
          <t>中學後／中六畢業出口</t>
        </is>
      </c>
      <c r="E206" s="77" t="inlineStr">
        <is>
          <t>EDB指定本地普通中學日校之有回應中六畢業生；按指標另註</t>
        </is>
      </c>
      <c r="F206" s="77" t="inlineStr">
        <is>
          <t>11946</t>
        </is>
      </c>
      <c r="G206" s="77" t="inlineStr">
        <is>
          <t>38598</t>
        </is>
      </c>
      <c r="H206" s="77" t="inlineStr">
        <is>
          <t>30.9</t>
        </is>
      </c>
      <c r="I206" s="77" t="inlineStr">
        <is>
          <t>%</t>
        </is>
      </c>
      <c r="J206" s="77" t="inlineStr">
        <is>
          <t>官方公布比例</t>
        </is>
      </c>
      <c r="K206" s="77" t="inlineStr">
        <is>
          <t>EDB-S6-2023</t>
        </is>
      </c>
      <c r="L206" s="77" t="inlineStr">
        <is>
          <t>PDF p.14（印刷頁9），Table 2.2</t>
        </is>
      </c>
      <c r="M206" s="77" t="inlineStr">
        <is>
          <t>分母為全體全日制求學者；本科／專上分類包括公帑資助、自資及海外院校；不是政府資助學額或錄取率。</t>
        </is>
      </c>
      <c r="N206" s="77" t="inlineStr">
        <is>
          <t>已從官方PDF逐表轉錄並經加總／視覺核對</t>
        </is>
      </c>
    </row>
    <row r="207" ht="30" customHeight="1">
      <c r="A207" s="78" t="inlineStr">
        <is>
          <t>EDB_S6_2023_T22_OTHER_FULL_TIME_COUNT</t>
        </is>
      </c>
      <c r="B207" s="78" t="inlineStr">
        <is>
          <t>表2.2｜全體全日制求學者｜其他全日制課程人數</t>
        </is>
      </c>
      <c r="C207" s="78" t="inlineStr">
        <is>
          <t>2023</t>
        </is>
      </c>
      <c r="D207" s="78" t="inlineStr">
        <is>
          <t>中學後／中六畢業出口</t>
        </is>
      </c>
      <c r="E207" s="78" t="inlineStr">
        <is>
          <t>EDB指定本地普通中學日校之有回應中六畢業生；按指標另註</t>
        </is>
      </c>
      <c r="F207" s="78" t="inlineStr">
        <is>
          <t>7792</t>
        </is>
      </c>
      <c r="G207" s="78" t="inlineStr">
        <is>
          <t>38598</t>
        </is>
      </c>
      <c r="H207" s="78" t="inlineStr">
        <is>
          <t>7792</t>
        </is>
      </c>
      <c r="I207" s="78" t="inlineStr">
        <is>
          <t>人</t>
        </is>
      </c>
      <c r="J207" s="78" t="inlineStr">
        <is>
          <t>官方照錄</t>
        </is>
      </c>
      <c r="K207" s="78" t="inlineStr">
        <is>
          <t>EDB-S6-2023</t>
        </is>
      </c>
      <c r="L207" s="78" t="inlineStr">
        <is>
          <t>PDF p.14（印刷頁9），Table 2.2</t>
        </is>
      </c>
      <c r="M207" s="78" t="inlineStr">
        <is>
          <t>分母為全體全日制求學者；其他全日制課程跨2021–22及2023–25不宜直接作嚴格同比，詳見分類crosswalk。</t>
        </is>
      </c>
      <c r="N207" s="78" t="inlineStr">
        <is>
          <t>已從官方PDF逐表轉錄並經加總／視覺核對</t>
        </is>
      </c>
    </row>
    <row r="208" ht="30" customHeight="1">
      <c r="A208" s="77" t="inlineStr">
        <is>
          <t>EDB_S6_2023_T22_OTHER_FULL_TIME_SHARE</t>
        </is>
      </c>
      <c r="B208" s="77" t="inlineStr">
        <is>
          <t>表2.2｜全體全日制求學者｜其他全日制課程比例</t>
        </is>
      </c>
      <c r="C208" s="77" t="inlineStr">
        <is>
          <t>2023</t>
        </is>
      </c>
      <c r="D208" s="77" t="inlineStr">
        <is>
          <t>中學後／中六畢業出口</t>
        </is>
      </c>
      <c r="E208" s="77" t="inlineStr">
        <is>
          <t>EDB指定本地普通中學日校之有回應中六畢業生；按指標另註</t>
        </is>
      </c>
      <c r="F208" s="77" t="inlineStr">
        <is>
          <t>7792</t>
        </is>
      </c>
      <c r="G208" s="77" t="inlineStr">
        <is>
          <t>38598</t>
        </is>
      </c>
      <c r="H208" s="77" t="inlineStr">
        <is>
          <t>20.2</t>
        </is>
      </c>
      <c r="I208" s="77" t="inlineStr">
        <is>
          <t>%</t>
        </is>
      </c>
      <c r="J208" s="77" t="inlineStr">
        <is>
          <t>官方公布比例</t>
        </is>
      </c>
      <c r="K208" s="77" t="inlineStr">
        <is>
          <t>EDB-S6-2023</t>
        </is>
      </c>
      <c r="L208" s="77" t="inlineStr">
        <is>
          <t>PDF p.14（印刷頁9），Table 2.2</t>
        </is>
      </c>
      <c r="M208" s="77" t="inlineStr">
        <is>
          <t>分母為全體全日制求學者；其他全日制課程跨2021–22及2023–25不宜直接作嚴格同比，詳見分類crosswalk。</t>
        </is>
      </c>
      <c r="N208" s="77" t="inlineStr">
        <is>
          <t>已從官方PDF逐表轉錄並經加總／視覺核對</t>
        </is>
      </c>
    </row>
    <row r="209" ht="30" customHeight="1">
      <c r="A209" s="78" t="inlineStr">
        <is>
          <t>EDB_S6_2023_T22_SECONDARY_6_COURSE_COUNT</t>
        </is>
      </c>
      <c r="B209" s="78" t="inlineStr">
        <is>
          <t>表2.2｜全體全日制求學者｜中六課程人數</t>
        </is>
      </c>
      <c r="C209" s="78" t="inlineStr">
        <is>
          <t>2023</t>
        </is>
      </c>
      <c r="D209" s="78" t="inlineStr">
        <is>
          <t>中學後／中六畢業出口</t>
        </is>
      </c>
      <c r="E209" s="78" t="inlineStr">
        <is>
          <t>EDB指定本地普通中學日校之有回應中六畢業生；按指標另註</t>
        </is>
      </c>
      <c r="F209" s="78" t="inlineStr">
        <is>
          <t>62</t>
        </is>
      </c>
      <c r="G209" s="78" t="inlineStr">
        <is>
          <t>38598</t>
        </is>
      </c>
      <c r="H209" s="78" t="inlineStr">
        <is>
          <t>62</t>
        </is>
      </c>
      <c r="I209" s="78" t="inlineStr">
        <is>
          <t>人</t>
        </is>
      </c>
      <c r="J209" s="78" t="inlineStr">
        <is>
          <t>官方照錄</t>
        </is>
      </c>
      <c r="K209" s="78" t="inlineStr">
        <is>
          <t>EDB-S6-2023</t>
        </is>
      </c>
      <c r="L209" s="78" t="inlineStr">
        <is>
          <t>PDF p.14（印刷頁9），Table 2.2</t>
        </is>
      </c>
      <c r="M209" s="78" t="inlineStr">
        <is>
          <t>分母為全體全日制求學者；本科／專上分類包括公帑資助、自資及海外院校；不是政府資助學額或錄取率。</t>
        </is>
      </c>
      <c r="N209" s="78" t="inlineStr">
        <is>
          <t>已從官方PDF逐表轉錄並經加總／視覺核對</t>
        </is>
      </c>
    </row>
    <row r="210" ht="30" customHeight="1">
      <c r="A210" s="77" t="inlineStr">
        <is>
          <t>EDB_S6_2023_T22_SECONDARY_6_COURSE_SHARE</t>
        </is>
      </c>
      <c r="B210" s="77" t="inlineStr">
        <is>
          <t>表2.2｜全體全日制求學者｜中六課程比例</t>
        </is>
      </c>
      <c r="C210" s="77" t="inlineStr">
        <is>
          <t>2023</t>
        </is>
      </c>
      <c r="D210" s="77" t="inlineStr">
        <is>
          <t>中學後／中六畢業出口</t>
        </is>
      </c>
      <c r="E210" s="77" t="inlineStr">
        <is>
          <t>EDB指定本地普通中學日校之有回應中六畢業生；按指標另註</t>
        </is>
      </c>
      <c r="F210" s="77" t="inlineStr">
        <is>
          <t>62</t>
        </is>
      </c>
      <c r="G210" s="77" t="inlineStr">
        <is>
          <t>38598</t>
        </is>
      </c>
      <c r="H210" s="77" t="inlineStr">
        <is>
          <t>0.2</t>
        </is>
      </c>
      <c r="I210" s="77" t="inlineStr">
        <is>
          <t>%</t>
        </is>
      </c>
      <c r="J210" s="77" t="inlineStr">
        <is>
          <t>官方公布比例</t>
        </is>
      </c>
      <c r="K210" s="77" t="inlineStr">
        <is>
          <t>EDB-S6-2023</t>
        </is>
      </c>
      <c r="L210" s="77" t="inlineStr">
        <is>
          <t>PDF p.14（印刷頁9），Table 2.2</t>
        </is>
      </c>
      <c r="M210" s="77" t="inlineStr">
        <is>
          <t>分母為全體全日制求學者；本科／專上分類包括公帑資助、自資及海外院校；不是政府資助學額或錄取率。</t>
        </is>
      </c>
      <c r="N210" s="77" t="inlineStr">
        <is>
          <t>已從官方PDF逐表轉錄並經加總／視覺核對</t>
        </is>
      </c>
    </row>
    <row r="211" ht="30" customHeight="1">
      <c r="A211" s="78" t="inlineStr">
        <is>
          <t>EDB_S6_2023_CHART25_OUTSIDE_HK_COUNT</t>
        </is>
      </c>
      <c r="B211" s="78" t="inlineStr">
        <is>
          <t>Chart 2.5｜香港以外全日制求學人數</t>
        </is>
      </c>
      <c r="C211" s="78" t="inlineStr">
        <is>
          <t>2023</t>
        </is>
      </c>
      <c r="D211" s="78" t="inlineStr">
        <is>
          <t>中學後／中六畢業出口</t>
        </is>
      </c>
      <c r="E211" s="78" t="inlineStr">
        <is>
          <t>EDB指定本地普通中學日校之有回應中六畢業生；按指標另註</t>
        </is>
      </c>
      <c r="F211" s="78" t="inlineStr">
        <is>
          <t>3609</t>
        </is>
      </c>
      <c r="G211" s="78" t="inlineStr">
        <is>
          <t>38598</t>
        </is>
      </c>
      <c r="H211" s="78" t="inlineStr">
        <is>
          <t>3609</t>
        </is>
      </c>
      <c r="I211" s="78" t="inlineStr">
        <is>
          <t>人</t>
        </is>
      </c>
      <c r="J211" s="78" t="inlineStr">
        <is>
          <t>官方照錄</t>
        </is>
      </c>
      <c r="K211" s="78" t="inlineStr">
        <is>
          <t>EDB-S6-2023</t>
        </is>
      </c>
      <c r="L211" s="78" t="inlineStr">
        <is>
          <t>PDF p.16（印刷頁11），Chart 2.5</t>
        </is>
      </c>
      <c r="M211" s="78" t="inlineStr">
        <is>
          <t>分母為同屆全日制求學者；只代表10月調查狀況。</t>
        </is>
      </c>
      <c r="N211" s="78" t="inlineStr">
        <is>
          <t>已從官方PDF逐表轉錄並經加總／視覺核對</t>
        </is>
      </c>
    </row>
    <row r="212" ht="30" customHeight="1">
      <c r="A212" s="77" t="inlineStr">
        <is>
          <t>EDB_S6_2023_CHART25_OUTSIDE_HK_SHARE</t>
        </is>
      </c>
      <c r="B212" s="77" t="inlineStr">
        <is>
          <t>Chart 2.5｜香港以外全日制求學比例</t>
        </is>
      </c>
      <c r="C212" s="77" t="inlineStr">
        <is>
          <t>2023</t>
        </is>
      </c>
      <c r="D212" s="77" t="inlineStr">
        <is>
          <t>中學後／中六畢業出口</t>
        </is>
      </c>
      <c r="E212" s="77" t="inlineStr">
        <is>
          <t>EDB指定本地普通中學日校之有回應中六畢業生；按指標另註</t>
        </is>
      </c>
      <c r="F212" s="77" t="inlineStr">
        <is>
          <t>3609</t>
        </is>
      </c>
      <c r="G212" s="77" t="inlineStr">
        <is>
          <t>38598</t>
        </is>
      </c>
      <c r="H212" s="77" t="inlineStr">
        <is>
          <t>9.4</t>
        </is>
      </c>
      <c r="I212" s="77" t="inlineStr">
        <is>
          <t>%</t>
        </is>
      </c>
      <c r="J212" s="77" t="inlineStr">
        <is>
          <t>官方公布比例</t>
        </is>
      </c>
      <c r="K212" s="77" t="inlineStr">
        <is>
          <t>EDB-S6-2023</t>
        </is>
      </c>
      <c r="L212" s="77" t="inlineStr">
        <is>
          <t>PDF p.16（印刷頁11），Chart 2.5</t>
        </is>
      </c>
      <c r="M212" s="77" t="inlineStr">
        <is>
          <t>分母為同屆全日制求學者；只代表10月調查狀況。</t>
        </is>
      </c>
      <c r="N212" s="77" t="inlineStr">
        <is>
          <t>已從官方PDF逐表轉錄並經加總／視覺核對</t>
        </is>
      </c>
    </row>
    <row r="213" ht="30" customHeight="1">
      <c r="A213" s="78" t="inlineStr">
        <is>
          <t>EDB_S6_2023_CHART25_HONG_KONG_COUNT</t>
        </is>
      </c>
      <c r="B213" s="78" t="inlineStr">
        <is>
          <t>Chart 2.5｜香港全日制求學人數</t>
        </is>
      </c>
      <c r="C213" s="78" t="inlineStr">
        <is>
          <t>2023</t>
        </is>
      </c>
      <c r="D213" s="78" t="inlineStr">
        <is>
          <t>中學後／中六畢業出口</t>
        </is>
      </c>
      <c r="E213" s="78" t="inlineStr">
        <is>
          <t>EDB指定本地普通中學日校之有回應中六畢業生；按指標另註</t>
        </is>
      </c>
      <c r="F213" s="78" t="inlineStr">
        <is>
          <t>34989</t>
        </is>
      </c>
      <c r="G213" s="78" t="inlineStr">
        <is>
          <t>38598</t>
        </is>
      </c>
      <c r="H213" s="78" t="inlineStr">
        <is>
          <t>34989</t>
        </is>
      </c>
      <c r="I213" s="78" t="inlineStr">
        <is>
          <t>人</t>
        </is>
      </c>
      <c r="J213" s="78" t="inlineStr">
        <is>
          <t>官方照錄</t>
        </is>
      </c>
      <c r="K213" s="78" t="inlineStr">
        <is>
          <t>EDB-S6-2023</t>
        </is>
      </c>
      <c r="L213" s="78" t="inlineStr">
        <is>
          <t>PDF p.16（印刷頁11），Chart 2.5</t>
        </is>
      </c>
      <c r="M213" s="78" t="inlineStr">
        <is>
          <t>分母為同屆全日制求學者；只代表10月調查狀況。</t>
        </is>
      </c>
      <c r="N213" s="78" t="inlineStr">
        <is>
          <t>已從官方PDF逐表轉錄並經加總／視覺核對</t>
        </is>
      </c>
    </row>
    <row r="214" ht="30" customHeight="1">
      <c r="A214" s="77" t="inlineStr">
        <is>
          <t>EDB_S6_2023_CHART25_HONG_KONG_SHARE</t>
        </is>
      </c>
      <c r="B214" s="77" t="inlineStr">
        <is>
          <t>Chart 2.5｜香港全日制求學比例</t>
        </is>
      </c>
      <c r="C214" s="77" t="inlineStr">
        <is>
          <t>2023</t>
        </is>
      </c>
      <c r="D214" s="77" t="inlineStr">
        <is>
          <t>中學後／中六畢業出口</t>
        </is>
      </c>
      <c r="E214" s="77" t="inlineStr">
        <is>
          <t>EDB指定本地普通中學日校之有回應中六畢業生；按指標另註</t>
        </is>
      </c>
      <c r="F214" s="77" t="inlineStr">
        <is>
          <t>34989</t>
        </is>
      </c>
      <c r="G214" s="77" t="inlineStr">
        <is>
          <t>38598</t>
        </is>
      </c>
      <c r="H214" s="77" t="inlineStr">
        <is>
          <t>90.6</t>
        </is>
      </c>
      <c r="I214" s="77" t="inlineStr">
        <is>
          <t>%</t>
        </is>
      </c>
      <c r="J214" s="77" t="inlineStr">
        <is>
          <t>官方公布比例</t>
        </is>
      </c>
      <c r="K214" s="77" t="inlineStr">
        <is>
          <t>EDB-S6-2023</t>
        </is>
      </c>
      <c r="L214" s="77" t="inlineStr">
        <is>
          <t>PDF p.16（印刷頁11），Chart 2.5</t>
        </is>
      </c>
      <c r="M214" s="77" t="inlineStr">
        <is>
          <t>分母為同屆全日制求學者；只代表10月調查狀況。</t>
        </is>
      </c>
      <c r="N214" s="77" t="inlineStr">
        <is>
          <t>已從官方PDF逐表轉錄並經加總／視覺核對</t>
        </is>
      </c>
    </row>
    <row r="215" ht="30" customHeight="1">
      <c r="A215" s="78" t="inlineStr">
        <is>
          <t>EDB_S6_2023_T23_MAINLAND_COUNT</t>
        </is>
      </c>
      <c r="B215" s="78" t="inlineStr">
        <is>
          <t>表2.3｜中國內地全日制升學人數</t>
        </is>
      </c>
      <c r="C215" s="78" t="inlineStr">
        <is>
          <t>2023</t>
        </is>
      </c>
      <c r="D215" s="78" t="inlineStr">
        <is>
          <t>中學後／中六畢業出口</t>
        </is>
      </c>
      <c r="E215" s="78" t="inlineStr">
        <is>
          <t>EDB指定本地普通中學日校之有回應中六畢業生；按指標另註</t>
        </is>
      </c>
      <c r="F215" s="78" t="inlineStr">
        <is>
          <t>1431</t>
        </is>
      </c>
      <c r="G215" s="78" t="inlineStr">
        <is>
          <t>3609</t>
        </is>
      </c>
      <c r="H215" s="78" t="inlineStr">
        <is>
          <t>1431</t>
        </is>
      </c>
      <c r="I215" s="78" t="inlineStr">
        <is>
          <t>人</t>
        </is>
      </c>
      <c r="J215" s="78" t="inlineStr">
        <is>
          <t>官方照錄</t>
        </is>
      </c>
      <c r="K215" s="78" t="inlineStr">
        <is>
          <t>EDB-S6-2023</t>
        </is>
      </c>
      <c r="L215" s="78" t="inlineStr">
        <is>
          <t>PDF p.19（印刷頁14），Table 2.3</t>
        </is>
      </c>
      <c r="M215" s="78" t="inlineStr">
        <is>
          <t>分母為全體境外全日制求學者；不是全部S6畢業生。</t>
        </is>
      </c>
      <c r="N215" s="78" t="inlineStr">
        <is>
          <t>已從官方PDF逐表轉錄並經加總／視覺核對</t>
        </is>
      </c>
    </row>
    <row r="216" ht="30" customHeight="1">
      <c r="A216" s="77" t="inlineStr">
        <is>
          <t>EDB_S6_2023_T23_MAINLAND_SHARE</t>
        </is>
      </c>
      <c r="B216" s="77" t="inlineStr">
        <is>
          <t>表2.3｜中國內地佔境外升學者比例</t>
        </is>
      </c>
      <c r="C216" s="77" t="inlineStr">
        <is>
          <t>2023</t>
        </is>
      </c>
      <c r="D216" s="77" t="inlineStr">
        <is>
          <t>中學後／中六畢業出口</t>
        </is>
      </c>
      <c r="E216" s="77" t="inlineStr">
        <is>
          <t>EDB指定本地普通中學日校之有回應中六畢業生；按指標另註</t>
        </is>
      </c>
      <c r="F216" s="77" t="inlineStr">
        <is>
          <t>1431</t>
        </is>
      </c>
      <c r="G216" s="77" t="inlineStr">
        <is>
          <t>3609</t>
        </is>
      </c>
      <c r="H216" s="77" t="inlineStr">
        <is>
          <t>39.7</t>
        </is>
      </c>
      <c r="I216" s="77" t="inlineStr">
        <is>
          <t>%</t>
        </is>
      </c>
      <c r="J216" s="77" t="inlineStr">
        <is>
          <t>官方公布比例</t>
        </is>
      </c>
      <c r="K216" s="77" t="inlineStr">
        <is>
          <t>EDB-S6-2023</t>
        </is>
      </c>
      <c r="L216" s="77" t="inlineStr">
        <is>
          <t>PDF p.19（印刷頁14），Table 2.3</t>
        </is>
      </c>
      <c r="M216" s="77" t="inlineStr">
        <is>
          <t>分母為全體境外全日制求學者；不可解讀成全體畢業生比例。</t>
        </is>
      </c>
      <c r="N216" s="77" t="inlineStr">
        <is>
          <t>已從官方PDF逐表轉錄並經加總／視覺核對</t>
        </is>
      </c>
    </row>
    <row r="217" ht="30" customHeight="1">
      <c r="A217" s="78" t="inlineStr">
        <is>
          <t>EDB_S6_2023_T23_UK_COUNT</t>
        </is>
      </c>
      <c r="B217" s="78" t="inlineStr">
        <is>
          <t>表2.3｜英國全日制升學人數</t>
        </is>
      </c>
      <c r="C217" s="78" t="inlineStr">
        <is>
          <t>2023</t>
        </is>
      </c>
      <c r="D217" s="78" t="inlineStr">
        <is>
          <t>中學後／中六畢業出口</t>
        </is>
      </c>
      <c r="E217" s="78" t="inlineStr">
        <is>
          <t>EDB指定本地普通中學日校之有回應中六畢業生；按指標另註</t>
        </is>
      </c>
      <c r="F217" s="78" t="inlineStr">
        <is>
          <t>842</t>
        </is>
      </c>
      <c r="G217" s="78" t="inlineStr">
        <is>
          <t>3609</t>
        </is>
      </c>
      <c r="H217" s="78" t="inlineStr">
        <is>
          <t>842</t>
        </is>
      </c>
      <c r="I217" s="78" t="inlineStr">
        <is>
          <t>人</t>
        </is>
      </c>
      <c r="J217" s="78" t="inlineStr">
        <is>
          <t>官方照錄</t>
        </is>
      </c>
      <c r="K217" s="78" t="inlineStr">
        <is>
          <t>EDB-S6-2023</t>
        </is>
      </c>
      <c r="L217" s="78" t="inlineStr">
        <is>
          <t>PDF p.19（印刷頁14），Table 2.3</t>
        </is>
      </c>
      <c r="M217" s="78" t="inlineStr">
        <is>
          <t>分母為全體境外全日制求學者；不是全部S6畢業生。</t>
        </is>
      </c>
      <c r="N217" s="78" t="inlineStr">
        <is>
          <t>已從官方PDF逐表轉錄並經加總／視覺核對</t>
        </is>
      </c>
    </row>
    <row r="218" ht="30" customHeight="1">
      <c r="A218" s="77" t="inlineStr">
        <is>
          <t>EDB_S6_2023_T23_UK_SHARE</t>
        </is>
      </c>
      <c r="B218" s="77" t="inlineStr">
        <is>
          <t>表2.3｜英國佔境外升學者比例</t>
        </is>
      </c>
      <c r="C218" s="77" t="inlineStr">
        <is>
          <t>2023</t>
        </is>
      </c>
      <c r="D218" s="77" t="inlineStr">
        <is>
          <t>中學後／中六畢業出口</t>
        </is>
      </c>
      <c r="E218" s="77" t="inlineStr">
        <is>
          <t>EDB指定本地普通中學日校之有回應中六畢業生；按指標另註</t>
        </is>
      </c>
      <c r="F218" s="77" t="inlineStr">
        <is>
          <t>842</t>
        </is>
      </c>
      <c r="G218" s="77" t="inlineStr">
        <is>
          <t>3609</t>
        </is>
      </c>
      <c r="H218" s="77" t="inlineStr">
        <is>
          <t>23.3</t>
        </is>
      </c>
      <c r="I218" s="77" t="inlineStr">
        <is>
          <t>%</t>
        </is>
      </c>
      <c r="J218" s="77" t="inlineStr">
        <is>
          <t>官方公布比例</t>
        </is>
      </c>
      <c r="K218" s="77" t="inlineStr">
        <is>
          <t>EDB-S6-2023</t>
        </is>
      </c>
      <c r="L218" s="77" t="inlineStr">
        <is>
          <t>PDF p.19（印刷頁14），Table 2.3</t>
        </is>
      </c>
      <c r="M218" s="77" t="inlineStr">
        <is>
          <t>分母為全體境外全日制求學者；不可解讀成全體畢業生比例。</t>
        </is>
      </c>
      <c r="N218" s="77" t="inlineStr">
        <is>
          <t>已從官方PDF逐表轉錄並經加總／視覺核對</t>
        </is>
      </c>
    </row>
    <row r="219" ht="30" customHeight="1">
      <c r="A219" s="78" t="inlineStr">
        <is>
          <t>EDB_S6_2023_T23_TAIWAN_COUNT</t>
        </is>
      </c>
      <c r="B219" s="78" t="inlineStr">
        <is>
          <t>表2.3｜台灣全日制升學人數</t>
        </is>
      </c>
      <c r="C219" s="78" t="inlineStr">
        <is>
          <t>2023</t>
        </is>
      </c>
      <c r="D219" s="78" t="inlineStr">
        <is>
          <t>中學後／中六畢業出口</t>
        </is>
      </c>
      <c r="E219" s="78" t="inlineStr">
        <is>
          <t>EDB指定本地普通中學日校之有回應中六畢業生；按指標另註</t>
        </is>
      </c>
      <c r="F219" s="78" t="inlineStr">
        <is>
          <t>435</t>
        </is>
      </c>
      <c r="G219" s="78" t="inlineStr">
        <is>
          <t>3609</t>
        </is>
      </c>
      <c r="H219" s="78" t="inlineStr">
        <is>
          <t>435</t>
        </is>
      </c>
      <c r="I219" s="78" t="inlineStr">
        <is>
          <t>人</t>
        </is>
      </c>
      <c r="J219" s="78" t="inlineStr">
        <is>
          <t>官方照錄</t>
        </is>
      </c>
      <c r="K219" s="78" t="inlineStr">
        <is>
          <t>EDB-S6-2023</t>
        </is>
      </c>
      <c r="L219" s="78" t="inlineStr">
        <is>
          <t>PDF p.19（印刷頁14），Table 2.3</t>
        </is>
      </c>
      <c r="M219" s="78" t="inlineStr">
        <is>
          <t>分母為全體境外全日制求學者；不是全部S6畢業生。</t>
        </is>
      </c>
      <c r="N219" s="78" t="inlineStr">
        <is>
          <t>已從官方PDF逐表轉錄並經加總／視覺核對</t>
        </is>
      </c>
    </row>
    <row r="220" ht="30" customHeight="1">
      <c r="A220" s="77" t="inlineStr">
        <is>
          <t>EDB_S6_2023_T23_TAIWAN_SHARE</t>
        </is>
      </c>
      <c r="B220" s="77" t="inlineStr">
        <is>
          <t>表2.3｜台灣佔境外升學者比例</t>
        </is>
      </c>
      <c r="C220" s="77" t="inlineStr">
        <is>
          <t>2023</t>
        </is>
      </c>
      <c r="D220" s="77" t="inlineStr">
        <is>
          <t>中學後／中六畢業出口</t>
        </is>
      </c>
      <c r="E220" s="77" t="inlineStr">
        <is>
          <t>EDB指定本地普通中學日校之有回應中六畢業生；按指標另註</t>
        </is>
      </c>
      <c r="F220" s="77" t="inlineStr">
        <is>
          <t>435</t>
        </is>
      </c>
      <c r="G220" s="77" t="inlineStr">
        <is>
          <t>3609</t>
        </is>
      </c>
      <c r="H220" s="77" t="inlineStr">
        <is>
          <t>12.1</t>
        </is>
      </c>
      <c r="I220" s="77" t="inlineStr">
        <is>
          <t>%</t>
        </is>
      </c>
      <c r="J220" s="77" t="inlineStr">
        <is>
          <t>官方公布比例</t>
        </is>
      </c>
      <c r="K220" s="77" t="inlineStr">
        <is>
          <t>EDB-S6-2023</t>
        </is>
      </c>
      <c r="L220" s="77" t="inlineStr">
        <is>
          <t>PDF p.19（印刷頁14），Table 2.3</t>
        </is>
      </c>
      <c r="M220" s="77" t="inlineStr">
        <is>
          <t>分母為全體境外全日制求學者；不可解讀成全體畢業生比例。</t>
        </is>
      </c>
      <c r="N220" s="77" t="inlineStr">
        <is>
          <t>已從官方PDF逐表轉錄並經加總／視覺核對</t>
        </is>
      </c>
    </row>
    <row r="221" ht="30" customHeight="1">
      <c r="A221" s="78" t="inlineStr">
        <is>
          <t>EDB_S6_2023_T23_AUSTRALIA_COUNT</t>
        </is>
      </c>
      <c r="B221" s="78" t="inlineStr">
        <is>
          <t>表2.3｜澳洲全日制升學人數</t>
        </is>
      </c>
      <c r="C221" s="78" t="inlineStr">
        <is>
          <t>2023</t>
        </is>
      </c>
      <c r="D221" s="78" t="inlineStr">
        <is>
          <t>中學後／中六畢業出口</t>
        </is>
      </c>
      <c r="E221" s="78" t="inlineStr">
        <is>
          <t>EDB指定本地普通中學日校之有回應中六畢業生；按指標另註</t>
        </is>
      </c>
      <c r="F221" s="78" t="inlineStr">
        <is>
          <t>363</t>
        </is>
      </c>
      <c r="G221" s="78" t="inlineStr">
        <is>
          <t>3609</t>
        </is>
      </c>
      <c r="H221" s="78" t="inlineStr">
        <is>
          <t>363</t>
        </is>
      </c>
      <c r="I221" s="78" t="inlineStr">
        <is>
          <t>人</t>
        </is>
      </c>
      <c r="J221" s="78" t="inlineStr">
        <is>
          <t>官方照錄</t>
        </is>
      </c>
      <c r="K221" s="78" t="inlineStr">
        <is>
          <t>EDB-S6-2023</t>
        </is>
      </c>
      <c r="L221" s="78" t="inlineStr">
        <is>
          <t>PDF p.19（印刷頁14），Table 2.3</t>
        </is>
      </c>
      <c r="M221" s="78" t="inlineStr">
        <is>
          <t>分母為全體境外全日制求學者；不是全部S6畢業生。</t>
        </is>
      </c>
      <c r="N221" s="78" t="inlineStr">
        <is>
          <t>已從官方PDF逐表轉錄並經加總／視覺核對</t>
        </is>
      </c>
    </row>
    <row r="222" ht="30" customHeight="1">
      <c r="A222" s="77" t="inlineStr">
        <is>
          <t>EDB_S6_2023_T23_AUSTRALIA_SHARE</t>
        </is>
      </c>
      <c r="B222" s="77" t="inlineStr">
        <is>
          <t>表2.3｜澳洲佔境外升學者比例</t>
        </is>
      </c>
      <c r="C222" s="77" t="inlineStr">
        <is>
          <t>2023</t>
        </is>
      </c>
      <c r="D222" s="77" t="inlineStr">
        <is>
          <t>中學後／中六畢業出口</t>
        </is>
      </c>
      <c r="E222" s="77" t="inlineStr">
        <is>
          <t>EDB指定本地普通中學日校之有回應中六畢業生；按指標另註</t>
        </is>
      </c>
      <c r="F222" s="77" t="inlineStr">
        <is>
          <t>363</t>
        </is>
      </c>
      <c r="G222" s="77" t="inlineStr">
        <is>
          <t>3609</t>
        </is>
      </c>
      <c r="H222" s="77" t="inlineStr">
        <is>
          <t>10.1</t>
        </is>
      </c>
      <c r="I222" s="77" t="inlineStr">
        <is>
          <t>%</t>
        </is>
      </c>
      <c r="J222" s="77" t="inlineStr">
        <is>
          <t>官方公布比例</t>
        </is>
      </c>
      <c r="K222" s="77" t="inlineStr">
        <is>
          <t>EDB-S6-2023</t>
        </is>
      </c>
      <c r="L222" s="77" t="inlineStr">
        <is>
          <t>PDF p.19（印刷頁14），Table 2.3</t>
        </is>
      </c>
      <c r="M222" s="77" t="inlineStr">
        <is>
          <t>分母為全體境外全日制求學者；不可解讀成全體畢業生比例。</t>
        </is>
      </c>
      <c r="N222" s="77" t="inlineStr">
        <is>
          <t>已從官方PDF逐表轉錄並經加總／視覺核對</t>
        </is>
      </c>
    </row>
    <row r="223" ht="30" customHeight="1">
      <c r="A223" s="78" t="inlineStr">
        <is>
          <t>EDB_S6_2023_T23_CANADA_COUNT</t>
        </is>
      </c>
      <c r="B223" s="78" t="inlineStr">
        <is>
          <t>表2.3｜加拿大全日制升學人數</t>
        </is>
      </c>
      <c r="C223" s="78" t="inlineStr">
        <is>
          <t>2023</t>
        </is>
      </c>
      <c r="D223" s="78" t="inlineStr">
        <is>
          <t>中學後／中六畢業出口</t>
        </is>
      </c>
      <c r="E223" s="78" t="inlineStr">
        <is>
          <t>EDB指定本地普通中學日校之有回應中六畢業生；按指標另註</t>
        </is>
      </c>
      <c r="F223" s="78" t="inlineStr">
        <is>
          <t>232</t>
        </is>
      </c>
      <c r="G223" s="78" t="inlineStr">
        <is>
          <t>3609</t>
        </is>
      </c>
      <c r="H223" s="78" t="inlineStr">
        <is>
          <t>232</t>
        </is>
      </c>
      <c r="I223" s="78" t="inlineStr">
        <is>
          <t>人</t>
        </is>
      </c>
      <c r="J223" s="78" t="inlineStr">
        <is>
          <t>官方照錄</t>
        </is>
      </c>
      <c r="K223" s="78" t="inlineStr">
        <is>
          <t>EDB-S6-2023</t>
        </is>
      </c>
      <c r="L223" s="78" t="inlineStr">
        <is>
          <t>PDF p.19（印刷頁14），Table 2.3</t>
        </is>
      </c>
      <c r="M223" s="78" t="inlineStr">
        <is>
          <t>分母為全體境外全日制求學者；不是全部S6畢業生。</t>
        </is>
      </c>
      <c r="N223" s="78" t="inlineStr">
        <is>
          <t>已從官方PDF逐表轉錄並經加總／視覺核對</t>
        </is>
      </c>
    </row>
    <row r="224" ht="30" customHeight="1">
      <c r="A224" s="77" t="inlineStr">
        <is>
          <t>EDB_S6_2023_T23_CANADA_SHARE</t>
        </is>
      </c>
      <c r="B224" s="77" t="inlineStr">
        <is>
          <t>表2.3｜加拿大佔境外升學者比例</t>
        </is>
      </c>
      <c r="C224" s="77" t="inlineStr">
        <is>
          <t>2023</t>
        </is>
      </c>
      <c r="D224" s="77" t="inlineStr">
        <is>
          <t>中學後／中六畢業出口</t>
        </is>
      </c>
      <c r="E224" s="77" t="inlineStr">
        <is>
          <t>EDB指定本地普通中學日校之有回應中六畢業生；按指標另註</t>
        </is>
      </c>
      <c r="F224" s="77" t="inlineStr">
        <is>
          <t>232</t>
        </is>
      </c>
      <c r="G224" s="77" t="inlineStr">
        <is>
          <t>3609</t>
        </is>
      </c>
      <c r="H224" s="77" t="inlineStr">
        <is>
          <t>6.4</t>
        </is>
      </c>
      <c r="I224" s="77" t="inlineStr">
        <is>
          <t>%</t>
        </is>
      </c>
      <c r="J224" s="77" t="inlineStr">
        <is>
          <t>官方公布比例</t>
        </is>
      </c>
      <c r="K224" s="77" t="inlineStr">
        <is>
          <t>EDB-S6-2023</t>
        </is>
      </c>
      <c r="L224" s="77" t="inlineStr">
        <is>
          <t>PDF p.19（印刷頁14），Table 2.3</t>
        </is>
      </c>
      <c r="M224" s="77" t="inlineStr">
        <is>
          <t>分母為全體境外全日制求學者；不可解讀成全體畢業生比例。</t>
        </is>
      </c>
      <c r="N224" s="77" t="inlineStr">
        <is>
          <t>已從官方PDF逐表轉錄並經加總／視覺核對</t>
        </is>
      </c>
    </row>
    <row r="225" ht="30" customHeight="1">
      <c r="A225" s="78" t="inlineStr">
        <is>
          <t>EDB_S6_2023_T23_US_COUNT</t>
        </is>
      </c>
      <c r="B225" s="78" t="inlineStr">
        <is>
          <t>表2.3｜美國全日制升學人數</t>
        </is>
      </c>
      <c r="C225" s="78" t="inlineStr">
        <is>
          <t>2023</t>
        </is>
      </c>
      <c r="D225" s="78" t="inlineStr">
        <is>
          <t>中學後／中六畢業出口</t>
        </is>
      </c>
      <c r="E225" s="78" t="inlineStr">
        <is>
          <t>EDB指定本地普通中學日校之有回應中六畢業生；按指標另註</t>
        </is>
      </c>
      <c r="F225" s="78" t="inlineStr">
        <is>
          <t>87</t>
        </is>
      </c>
      <c r="G225" s="78" t="inlineStr">
        <is>
          <t>3609</t>
        </is>
      </c>
      <c r="H225" s="78" t="inlineStr">
        <is>
          <t>87</t>
        </is>
      </c>
      <c r="I225" s="78" t="inlineStr">
        <is>
          <t>人</t>
        </is>
      </c>
      <c r="J225" s="78" t="inlineStr">
        <is>
          <t>官方照錄</t>
        </is>
      </c>
      <c r="K225" s="78" t="inlineStr">
        <is>
          <t>EDB-S6-2023</t>
        </is>
      </c>
      <c r="L225" s="78" t="inlineStr">
        <is>
          <t>PDF p.19（印刷頁14），Table 2.3</t>
        </is>
      </c>
      <c r="M225" s="78" t="inlineStr">
        <is>
          <t>分母為全體境外全日制求學者；不是全部S6畢業生。</t>
        </is>
      </c>
      <c r="N225" s="78" t="inlineStr">
        <is>
          <t>已從官方PDF逐表轉錄並經加總／視覺核對</t>
        </is>
      </c>
    </row>
    <row r="226" ht="30" customHeight="1">
      <c r="A226" s="77" t="inlineStr">
        <is>
          <t>EDB_S6_2023_T23_US_SHARE</t>
        </is>
      </c>
      <c r="B226" s="77" t="inlineStr">
        <is>
          <t>表2.3｜美國佔境外升學者比例</t>
        </is>
      </c>
      <c r="C226" s="77" t="inlineStr">
        <is>
          <t>2023</t>
        </is>
      </c>
      <c r="D226" s="77" t="inlineStr">
        <is>
          <t>中學後／中六畢業出口</t>
        </is>
      </c>
      <c r="E226" s="77" t="inlineStr">
        <is>
          <t>EDB指定本地普通中學日校之有回應中六畢業生；按指標另註</t>
        </is>
      </c>
      <c r="F226" s="77" t="inlineStr">
        <is>
          <t>87</t>
        </is>
      </c>
      <c r="G226" s="77" t="inlineStr">
        <is>
          <t>3609</t>
        </is>
      </c>
      <c r="H226" s="77" t="inlineStr">
        <is>
          <t>2.4</t>
        </is>
      </c>
      <c r="I226" s="77" t="inlineStr">
        <is>
          <t>%</t>
        </is>
      </c>
      <c r="J226" s="77" t="inlineStr">
        <is>
          <t>官方公布比例</t>
        </is>
      </c>
      <c r="K226" s="77" t="inlineStr">
        <is>
          <t>EDB-S6-2023</t>
        </is>
      </c>
      <c r="L226" s="77" t="inlineStr">
        <is>
          <t>PDF p.19（印刷頁14），Table 2.3</t>
        </is>
      </c>
      <c r="M226" s="77" t="inlineStr">
        <is>
          <t>分母為全體境外全日制求學者；不可解讀成全體畢業生比例。</t>
        </is>
      </c>
      <c r="N226" s="77" t="inlineStr">
        <is>
          <t>已從官方PDF逐表轉錄並經加總／視覺核對</t>
        </is>
      </c>
    </row>
    <row r="227" ht="30" customHeight="1">
      <c r="A227" s="78" t="inlineStr">
        <is>
          <t>EDB_S6_2023_T23_OTHERS_COUNT</t>
        </is>
      </c>
      <c r="B227" s="78" t="inlineStr">
        <is>
          <t>表2.3｜其他全日制升學人數</t>
        </is>
      </c>
      <c r="C227" s="78" t="inlineStr">
        <is>
          <t>2023</t>
        </is>
      </c>
      <c r="D227" s="78" t="inlineStr">
        <is>
          <t>中學後／中六畢業出口</t>
        </is>
      </c>
      <c r="E227" s="78" t="inlineStr">
        <is>
          <t>EDB指定本地普通中學日校之有回應中六畢業生；按指標另註</t>
        </is>
      </c>
      <c r="F227" s="78" t="inlineStr">
        <is>
          <t>219</t>
        </is>
      </c>
      <c r="G227" s="78" t="inlineStr">
        <is>
          <t>3609</t>
        </is>
      </c>
      <c r="H227" s="78" t="inlineStr">
        <is>
          <t>219</t>
        </is>
      </c>
      <c r="I227" s="78" t="inlineStr">
        <is>
          <t>人</t>
        </is>
      </c>
      <c r="J227" s="78" t="inlineStr">
        <is>
          <t>官方照錄</t>
        </is>
      </c>
      <c r="K227" s="78" t="inlineStr">
        <is>
          <t>EDB-S6-2023</t>
        </is>
      </c>
      <c r="L227" s="78" t="inlineStr">
        <is>
          <t>PDF p.19（印刷頁14），Table 2.3</t>
        </is>
      </c>
      <c r="M227" s="78" t="inlineStr">
        <is>
          <t>分母為全體境外全日制求學者；不是全部S6畢業生。</t>
        </is>
      </c>
      <c r="N227" s="78" t="inlineStr">
        <is>
          <t>已從官方PDF逐表轉錄並經加總／視覺核對</t>
        </is>
      </c>
    </row>
    <row r="228" ht="30" customHeight="1">
      <c r="A228" s="77" t="inlineStr">
        <is>
          <t>EDB_S6_2023_T23_OTHERS_SHARE</t>
        </is>
      </c>
      <c r="B228" s="77" t="inlineStr">
        <is>
          <t>表2.3｜其他佔境外升學者比例</t>
        </is>
      </c>
      <c r="C228" s="77" t="inlineStr">
        <is>
          <t>2023</t>
        </is>
      </c>
      <c r="D228" s="77" t="inlineStr">
        <is>
          <t>中學後／中六畢業出口</t>
        </is>
      </c>
      <c r="E228" s="77" t="inlineStr">
        <is>
          <t>EDB指定本地普通中學日校之有回應中六畢業生；按指標另註</t>
        </is>
      </c>
      <c r="F228" s="77" t="inlineStr">
        <is>
          <t>219</t>
        </is>
      </c>
      <c r="G228" s="77" t="inlineStr">
        <is>
          <t>3609</t>
        </is>
      </c>
      <c r="H228" s="77" t="inlineStr">
        <is>
          <t>6.1</t>
        </is>
      </c>
      <c r="I228" s="77" t="inlineStr">
        <is>
          <t>%</t>
        </is>
      </c>
      <c r="J228" s="77" t="inlineStr">
        <is>
          <t>官方公布比例</t>
        </is>
      </c>
      <c r="K228" s="77" t="inlineStr">
        <is>
          <t>EDB-S6-2023</t>
        </is>
      </c>
      <c r="L228" s="77" t="inlineStr">
        <is>
          <t>PDF p.19（印刷頁14），Table 2.3</t>
        </is>
      </c>
      <c r="M228" s="77" t="inlineStr">
        <is>
          <t>分母為全體境外全日制求學者；不可解讀成全體畢業生比例。</t>
        </is>
      </c>
      <c r="N228" s="77" t="inlineStr">
        <is>
          <t>已從官方PDF逐表轉錄並經加總／視覺核對</t>
        </is>
      </c>
    </row>
    <row r="229" ht="30" customHeight="1">
      <c r="A229" s="78" t="inlineStr">
        <is>
          <t>EDB_S6_2023_T23_OUTSIDE_TOTAL_COUNT</t>
        </is>
      </c>
      <c r="B229" s="78" t="inlineStr">
        <is>
          <t>表2.3｜境外全日制求學合計</t>
        </is>
      </c>
      <c r="C229" s="78" t="inlineStr">
        <is>
          <t>2023</t>
        </is>
      </c>
      <c r="D229" s="78" t="inlineStr">
        <is>
          <t>中學後／中六畢業出口</t>
        </is>
      </c>
      <c r="E229" s="78" t="inlineStr">
        <is>
          <t>EDB指定本地普通中學日校之有回應中六畢業生；按指標另註</t>
        </is>
      </c>
      <c r="F229" s="78" t="inlineStr">
        <is>
          <t>3609</t>
        </is>
      </c>
      <c r="G229" s="78" t="inlineStr"/>
      <c r="H229" s="78" t="inlineStr">
        <is>
          <t>3609</t>
        </is>
      </c>
      <c r="I229" s="78" t="inlineStr">
        <is>
          <t>人</t>
        </is>
      </c>
      <c r="J229" s="78" t="inlineStr">
        <is>
          <t>官方照錄</t>
        </is>
      </c>
      <c r="K229" s="78" t="inlineStr">
        <is>
          <t>EDB-S6-2023</t>
        </is>
      </c>
      <c r="L229" s="78" t="inlineStr">
        <is>
          <t>PDF p.19（印刷頁14），Table 2.3總數行</t>
        </is>
      </c>
      <c r="M229" s="78" t="inlineStr">
        <is>
          <t>與Chart 2.5核對。</t>
        </is>
      </c>
      <c r="N229" s="78" t="inlineStr">
        <is>
          <t>已從官方PDF逐表轉錄並經加總／視覺核對</t>
        </is>
      </c>
    </row>
    <row r="230" ht="30" customHeight="1">
      <c r="A230" s="77" t="inlineStr">
        <is>
          <t>EDB_S6_2024_SCHOOLS</t>
        </is>
      </c>
      <c r="B230" s="77" t="inlineStr">
        <is>
          <t>納入調查的普通中學日校數</t>
        </is>
      </c>
      <c r="C230" s="77" t="inlineStr">
        <is>
          <t>2024</t>
        </is>
      </c>
      <c r="D230" s="77" t="inlineStr">
        <is>
          <t>中學後／中六畢業出口</t>
        </is>
      </c>
      <c r="E230" s="77" t="inlineStr">
        <is>
          <t>EDB指定本地普通中學日校之有回應中六畢業生；按指標另註</t>
        </is>
      </c>
      <c r="F230" s="77" t="inlineStr">
        <is>
          <t>448</t>
        </is>
      </c>
      <c r="G230" s="77" t="inlineStr"/>
      <c r="H230" s="77" t="inlineStr">
        <is>
          <t>448</t>
        </is>
      </c>
      <c r="I230" s="77" t="inlineStr">
        <is>
          <t>所</t>
        </is>
      </c>
      <c r="J230" s="77" t="inlineStr">
        <is>
          <t>官方照錄</t>
        </is>
      </c>
      <c r="K230" s="77" t="inlineStr">
        <is>
          <t>EDB-S6-2024</t>
        </is>
      </c>
      <c r="L230" s="77" t="inlineStr">
        <is>
          <t>PDF p.7（印刷頁2），段1.4</t>
        </is>
      </c>
      <c r="M230" s="77" t="inlineStr">
        <is>
          <t>只涵蓋有該屆畢業生且提供本地課程的本地普通中學日校。</t>
        </is>
      </c>
      <c r="N230" s="77" t="inlineStr">
        <is>
          <t>已從官方PDF逐表轉錄並經加總／視覺核對</t>
        </is>
      </c>
    </row>
    <row r="231" ht="30" customHeight="1">
      <c r="A231" s="78" t="inlineStr">
        <is>
          <t>EDB_S6_2024_TARGET_APPROX</t>
        </is>
      </c>
      <c r="B231" s="78" t="inlineStr">
        <is>
          <t>調查目標畢業生總數（約）</t>
        </is>
      </c>
      <c r="C231" s="78" t="inlineStr">
        <is>
          <t>2024</t>
        </is>
      </c>
      <c r="D231" s="78" t="inlineStr">
        <is>
          <t>中學後／中六畢業出口</t>
        </is>
      </c>
      <c r="E231" s="78" t="inlineStr">
        <is>
          <t>EDB指定本地普通中學日校之有回應中六畢業生；按指標另註</t>
        </is>
      </c>
      <c r="F231" s="78" t="inlineStr">
        <is>
          <t>42900</t>
        </is>
      </c>
      <c r="G231" s="78" t="inlineStr"/>
      <c r="H231" s="78" t="inlineStr">
        <is>
          <t>42900</t>
        </is>
      </c>
      <c r="I231" s="78" t="inlineStr">
        <is>
          <t>人（約）</t>
        </is>
      </c>
      <c r="J231" s="78" t="inlineStr">
        <is>
          <t>官方約數</t>
        </is>
      </c>
      <c r="K231" s="78" t="inlineStr">
        <is>
          <t>EDB-S6-2024</t>
        </is>
      </c>
      <c r="L231" s="78" t="inlineStr">
        <is>
          <t>PDF p.7（印刷頁2），段1.4</t>
        </is>
      </c>
      <c r="M231" s="78" t="inlineStr">
        <is>
          <t>EDB用some約數，不作精確回應率分母。</t>
        </is>
      </c>
      <c r="N231" s="78" t="inlineStr">
        <is>
          <t>已從官方PDF逐表轉錄並經加總／視覺核對</t>
        </is>
      </c>
    </row>
    <row r="232" ht="30" customHeight="1">
      <c r="A232" s="77" t="inlineStr">
        <is>
          <t>EDB_S6_2024_RESPONDENTS</t>
        </is>
      </c>
      <c r="B232" s="77" t="inlineStr">
        <is>
          <t>調查有回應畢業生</t>
        </is>
      </c>
      <c r="C232" s="77" t="inlineStr">
        <is>
          <t>2024</t>
        </is>
      </c>
      <c r="D232" s="77" t="inlineStr">
        <is>
          <t>中學後／中六畢業出口</t>
        </is>
      </c>
      <c r="E232" s="77" t="inlineStr">
        <is>
          <t>EDB指定本地普通中學日校之有回應中六畢業生；按指標另註</t>
        </is>
      </c>
      <c r="F232" s="77" t="inlineStr">
        <is>
          <t>41385</t>
        </is>
      </c>
      <c r="G232" s="77" t="inlineStr"/>
      <c r="H232" s="77" t="inlineStr">
        <is>
          <t>41385</t>
        </is>
      </c>
      <c r="I232" s="77" t="inlineStr">
        <is>
          <t>人</t>
        </is>
      </c>
      <c r="J232" s="77" t="inlineStr">
        <is>
          <t>官方照錄</t>
        </is>
      </c>
      <c r="K232" s="77" t="inlineStr">
        <is>
          <t>EDB-S6-2024</t>
        </is>
      </c>
      <c r="L232" s="77" t="inlineStr">
        <is>
          <t>PDF p.11（印刷頁6），Table 2.1總數</t>
        </is>
      </c>
      <c r="M232" s="77" t="inlineStr">
        <is>
          <t>表格精確分母；非目標全體人數。</t>
        </is>
      </c>
      <c r="N232" s="77" t="inlineStr">
        <is>
          <t>已從官方PDF逐表轉錄並經加總／視覺核對</t>
        </is>
      </c>
    </row>
    <row r="233" ht="30" customHeight="1">
      <c r="A233" s="78" t="inlineStr">
        <is>
          <t>EDB_S6_2024_RESPONSE_RATE</t>
        </is>
      </c>
      <c r="B233" s="78" t="inlineStr">
        <is>
          <t>調查回應率</t>
        </is>
      </c>
      <c r="C233" s="78" t="inlineStr">
        <is>
          <t>2024</t>
        </is>
      </c>
      <c r="D233" s="78" t="inlineStr">
        <is>
          <t>中學後／中六畢業出口</t>
        </is>
      </c>
      <c r="E233" s="78" t="inlineStr">
        <is>
          <t>EDB指定本地普通中學日校之有回應中六畢業生；按指標另註</t>
        </is>
      </c>
      <c r="F233" s="78" t="inlineStr"/>
      <c r="G233" s="78" t="inlineStr"/>
      <c r="H233" s="78" t="inlineStr">
        <is>
          <t>96.4</t>
        </is>
      </c>
      <c r="I233" s="78" t="inlineStr">
        <is>
          <t>%</t>
        </is>
      </c>
      <c r="J233" s="78" t="inlineStr">
        <is>
          <t>官方公布比例</t>
        </is>
      </c>
      <c r="K233" s="78" t="inlineStr">
        <is>
          <t>EDB-S6-2024</t>
        </is>
      </c>
      <c r="L233" s="78" t="inlineStr">
        <is>
          <t>PDF p.7（印刷頁2），段1.4</t>
        </is>
      </c>
      <c r="M233" s="78" t="inlineStr">
        <is>
          <t>照錄EDB公布值；不以目標約數反推。</t>
        </is>
      </c>
      <c r="N233" s="78" t="inlineStr">
        <is>
          <t>已從官方PDF逐表轉錄並經加總／視覺核對</t>
        </is>
      </c>
    </row>
    <row r="234" ht="30" customHeight="1">
      <c r="A234" s="77" t="inlineStr">
        <is>
          <t>EDB_S6_2024_T21_FULL_TIME_STUDY_ALL_COUNT</t>
        </is>
      </c>
      <c r="B234" s="77" t="inlineStr">
        <is>
          <t>表2.1｜全體有回應畢業生｜全日制求學人數</t>
        </is>
      </c>
      <c r="C234" s="77" t="inlineStr">
        <is>
          <t>2024</t>
        </is>
      </c>
      <c r="D234" s="77" t="inlineStr">
        <is>
          <t>中學後／中六畢業出口</t>
        </is>
      </c>
      <c r="E234" s="77" t="inlineStr">
        <is>
          <t>EDB指定本地普通中學日校之有回應中六畢業生；按指標另註</t>
        </is>
      </c>
      <c r="F234" s="77" t="inlineStr">
        <is>
          <t>39129</t>
        </is>
      </c>
      <c r="G234" s="77" t="inlineStr">
        <is>
          <t>41385</t>
        </is>
      </c>
      <c r="H234" s="77" t="inlineStr">
        <is>
          <t>39129</t>
        </is>
      </c>
      <c r="I234" s="77" t="inlineStr">
        <is>
          <t>人</t>
        </is>
      </c>
      <c r="J234" s="77" t="inlineStr">
        <is>
          <t>官方照錄</t>
        </is>
      </c>
      <c r="K234" s="77" t="inlineStr">
        <is>
          <t>EDB-S6-2024</t>
        </is>
      </c>
      <c r="L234" s="77" t="inlineStr">
        <is>
          <t>PDF p.11（印刷頁6），Table 2.1</t>
        </is>
      </c>
      <c r="M234" s="77" t="inlineStr">
        <is>
          <t>分母為同屆全體有回應畢業生；10月快照。</t>
        </is>
      </c>
      <c r="N234" s="77" t="inlineStr">
        <is>
          <t>已從官方PDF逐表轉錄並經加總／視覺核對</t>
        </is>
      </c>
    </row>
    <row r="235" ht="30" customHeight="1">
      <c r="A235" s="78" t="inlineStr">
        <is>
          <t>EDB_S6_2024_T21_FULL_TIME_STUDY_ALL_SHARE</t>
        </is>
      </c>
      <c r="B235" s="78" t="inlineStr">
        <is>
          <t>表2.1｜全體有回應畢業生｜全日制求學比例</t>
        </is>
      </c>
      <c r="C235" s="78" t="inlineStr">
        <is>
          <t>2024</t>
        </is>
      </c>
      <c r="D235" s="78" t="inlineStr">
        <is>
          <t>中學後／中六畢業出口</t>
        </is>
      </c>
      <c r="E235" s="78" t="inlineStr">
        <is>
          <t>EDB指定本地普通中學日校之有回應中六畢業生；按指標另註</t>
        </is>
      </c>
      <c r="F235" s="78" t="inlineStr">
        <is>
          <t>39129</t>
        </is>
      </c>
      <c r="G235" s="78" t="inlineStr">
        <is>
          <t>41385</t>
        </is>
      </c>
      <c r="H235" s="78" t="inlineStr">
        <is>
          <t>94.5</t>
        </is>
      </c>
      <c r="I235" s="78" t="inlineStr">
        <is>
          <t>%</t>
        </is>
      </c>
      <c r="J235" s="78" t="inlineStr">
        <is>
          <t>官方公布比例</t>
        </is>
      </c>
      <c r="K235" s="78" t="inlineStr">
        <is>
          <t>EDB-S6-2024</t>
        </is>
      </c>
      <c r="L235" s="78" t="inlineStr">
        <is>
          <t>PDF p.11（印刷頁6），Table 2.1</t>
        </is>
      </c>
      <c r="M235" s="78" t="inlineStr">
        <is>
          <t>保留EDB公布至小數一位的比例；不得當作終身結果。</t>
        </is>
      </c>
      <c r="N235" s="78" t="inlineStr">
        <is>
          <t>已從官方PDF逐表轉錄並經加總／視覺核對</t>
        </is>
      </c>
    </row>
    <row r="236" ht="30" customHeight="1">
      <c r="A236" s="77" t="inlineStr">
        <is>
          <t>EDB_S6_2024_T21_FULL_TIME_EMPLOYMENT_ALL_COUNT</t>
        </is>
      </c>
      <c r="B236" s="77" t="inlineStr">
        <is>
          <t>表2.1｜全體有回應畢業生｜全職工作人數</t>
        </is>
      </c>
      <c r="C236" s="77" t="inlineStr">
        <is>
          <t>2024</t>
        </is>
      </c>
      <c r="D236" s="77" t="inlineStr">
        <is>
          <t>中學後／中六畢業出口</t>
        </is>
      </c>
      <c r="E236" s="77" t="inlineStr">
        <is>
          <t>EDB指定本地普通中學日校之有回應中六畢業生；按指標另註</t>
        </is>
      </c>
      <c r="F236" s="77" t="inlineStr">
        <is>
          <t>923</t>
        </is>
      </c>
      <c r="G236" s="77" t="inlineStr">
        <is>
          <t>41385</t>
        </is>
      </c>
      <c r="H236" s="77" t="inlineStr">
        <is>
          <t>923</t>
        </is>
      </c>
      <c r="I236" s="77" t="inlineStr">
        <is>
          <t>人</t>
        </is>
      </c>
      <c r="J236" s="77" t="inlineStr">
        <is>
          <t>官方照錄</t>
        </is>
      </c>
      <c r="K236" s="77" t="inlineStr">
        <is>
          <t>EDB-S6-2024</t>
        </is>
      </c>
      <c r="L236" s="77" t="inlineStr">
        <is>
          <t>PDF p.11（印刷頁6），Table 2.1</t>
        </is>
      </c>
      <c r="M236" s="77" t="inlineStr">
        <is>
          <t>分母為同屆全體有回應畢業生；10月快照。</t>
        </is>
      </c>
      <c r="N236" s="77" t="inlineStr">
        <is>
          <t>已從官方PDF逐表轉錄並經加總／視覺核對</t>
        </is>
      </c>
    </row>
    <row r="237" ht="30" customHeight="1">
      <c r="A237" s="78" t="inlineStr">
        <is>
          <t>EDB_S6_2024_T21_FULL_TIME_EMPLOYMENT_ALL_SHARE</t>
        </is>
      </c>
      <c r="B237" s="78" t="inlineStr">
        <is>
          <t>表2.1｜全體有回應畢業生｜全職工作比例</t>
        </is>
      </c>
      <c r="C237" s="78" t="inlineStr">
        <is>
          <t>2024</t>
        </is>
      </c>
      <c r="D237" s="78" t="inlineStr">
        <is>
          <t>中學後／中六畢業出口</t>
        </is>
      </c>
      <c r="E237" s="78" t="inlineStr">
        <is>
          <t>EDB指定本地普通中學日校之有回應中六畢業生；按指標另註</t>
        </is>
      </c>
      <c r="F237" s="78" t="inlineStr">
        <is>
          <t>923</t>
        </is>
      </c>
      <c r="G237" s="78" t="inlineStr">
        <is>
          <t>41385</t>
        </is>
      </c>
      <c r="H237" s="78" t="inlineStr">
        <is>
          <t>2.2</t>
        </is>
      </c>
      <c r="I237" s="78" t="inlineStr">
        <is>
          <t>%</t>
        </is>
      </c>
      <c r="J237" s="78" t="inlineStr">
        <is>
          <t>官方公布比例</t>
        </is>
      </c>
      <c r="K237" s="78" t="inlineStr">
        <is>
          <t>EDB-S6-2024</t>
        </is>
      </c>
      <c r="L237" s="78" t="inlineStr">
        <is>
          <t>PDF p.11（印刷頁6），Table 2.1</t>
        </is>
      </c>
      <c r="M237" s="78" t="inlineStr">
        <is>
          <t>保留EDB公布至小數一位的比例；不得當作終身結果。</t>
        </is>
      </c>
      <c r="N237" s="78" t="inlineStr">
        <is>
          <t>已從官方PDF逐表轉錄並經加總／視覺核對</t>
        </is>
      </c>
    </row>
    <row r="238" ht="30" customHeight="1">
      <c r="A238" s="77" t="inlineStr">
        <is>
          <t>EDB_S6_2024_T21_PART_TIME_EMPLOYMENT_STUDY_ALL_COUNT</t>
        </is>
      </c>
      <c r="B238" s="77" t="inlineStr">
        <is>
          <t>表2.1｜全體有回應畢業生｜部分時間工作／求學人數</t>
        </is>
      </c>
      <c r="C238" s="77" t="inlineStr">
        <is>
          <t>2024</t>
        </is>
      </c>
      <c r="D238" s="77" t="inlineStr">
        <is>
          <t>中學後／中六畢業出口</t>
        </is>
      </c>
      <c r="E238" s="77" t="inlineStr">
        <is>
          <t>EDB指定本地普通中學日校之有回應中六畢業生；按指標另註</t>
        </is>
      </c>
      <c r="F238" s="77" t="inlineStr">
        <is>
          <t>878</t>
        </is>
      </c>
      <c r="G238" s="77" t="inlineStr">
        <is>
          <t>41385</t>
        </is>
      </c>
      <c r="H238" s="77" t="inlineStr">
        <is>
          <t>878</t>
        </is>
      </c>
      <c r="I238" s="77" t="inlineStr">
        <is>
          <t>人</t>
        </is>
      </c>
      <c r="J238" s="77" t="inlineStr">
        <is>
          <t>官方照錄</t>
        </is>
      </c>
      <c r="K238" s="77" t="inlineStr">
        <is>
          <t>EDB-S6-2024</t>
        </is>
      </c>
      <c r="L238" s="77" t="inlineStr">
        <is>
          <t>PDF p.11（印刷頁6），Table 2.1</t>
        </is>
      </c>
      <c r="M238" s="77" t="inlineStr">
        <is>
          <t>分母為同屆全體有回應畢業生；10月快照。</t>
        </is>
      </c>
      <c r="N238" s="77" t="inlineStr">
        <is>
          <t>已從官方PDF逐表轉錄並經加總／視覺核對</t>
        </is>
      </c>
    </row>
    <row r="239" ht="30" customHeight="1">
      <c r="A239" s="78" t="inlineStr">
        <is>
          <t>EDB_S6_2024_T21_PART_TIME_EMPLOYMENT_STUDY_ALL_SHARE</t>
        </is>
      </c>
      <c r="B239" s="78" t="inlineStr">
        <is>
          <t>表2.1｜全體有回應畢業生｜部分時間工作／求學比例</t>
        </is>
      </c>
      <c r="C239" s="78" t="inlineStr">
        <is>
          <t>2024</t>
        </is>
      </c>
      <c r="D239" s="78" t="inlineStr">
        <is>
          <t>中學後／中六畢業出口</t>
        </is>
      </c>
      <c r="E239" s="78" t="inlineStr">
        <is>
          <t>EDB指定本地普通中學日校之有回應中六畢業生；按指標另註</t>
        </is>
      </c>
      <c r="F239" s="78" t="inlineStr">
        <is>
          <t>878</t>
        </is>
      </c>
      <c r="G239" s="78" t="inlineStr">
        <is>
          <t>41385</t>
        </is>
      </c>
      <c r="H239" s="78" t="inlineStr">
        <is>
          <t>2.1</t>
        </is>
      </c>
      <c r="I239" s="78" t="inlineStr">
        <is>
          <t>%</t>
        </is>
      </c>
      <c r="J239" s="78" t="inlineStr">
        <is>
          <t>官方公布比例</t>
        </is>
      </c>
      <c r="K239" s="78" t="inlineStr">
        <is>
          <t>EDB-S6-2024</t>
        </is>
      </c>
      <c r="L239" s="78" t="inlineStr">
        <is>
          <t>PDF p.11（印刷頁6），Table 2.1</t>
        </is>
      </c>
      <c r="M239" s="78" t="inlineStr">
        <is>
          <t>保留EDB公布至小數一位的比例；不得當作終身結果。</t>
        </is>
      </c>
      <c r="N239" s="78" t="inlineStr">
        <is>
          <t>已從官方PDF逐表轉錄並經加總／視覺核對</t>
        </is>
      </c>
    </row>
    <row r="240" ht="30" customHeight="1">
      <c r="A240" s="77" t="inlineStr">
        <is>
          <t>EDB_S6_2024_T21_NEITHER_EMPLOYMENT_NOR_STUDY_ALL_COUNT</t>
        </is>
      </c>
      <c r="B240" s="77" t="inlineStr">
        <is>
          <t>表2.1｜全體有回應畢業生｜既非工作亦非求學人數</t>
        </is>
      </c>
      <c r="C240" s="77" t="inlineStr">
        <is>
          <t>2024</t>
        </is>
      </c>
      <c r="D240" s="77" t="inlineStr">
        <is>
          <t>中學後／中六畢業出口</t>
        </is>
      </c>
      <c r="E240" s="77" t="inlineStr">
        <is>
          <t>EDB指定本地普通中學日校之有回應中六畢業生；按指標另註</t>
        </is>
      </c>
      <c r="F240" s="77" t="inlineStr">
        <is>
          <t>455</t>
        </is>
      </c>
      <c r="G240" s="77" t="inlineStr">
        <is>
          <t>41385</t>
        </is>
      </c>
      <c r="H240" s="77" t="inlineStr">
        <is>
          <t>455</t>
        </is>
      </c>
      <c r="I240" s="77" t="inlineStr">
        <is>
          <t>人</t>
        </is>
      </c>
      <c r="J240" s="77" t="inlineStr">
        <is>
          <t>官方照錄</t>
        </is>
      </c>
      <c r="K240" s="77" t="inlineStr">
        <is>
          <t>EDB-S6-2024</t>
        </is>
      </c>
      <c r="L240" s="77" t="inlineStr">
        <is>
          <t>PDF p.11（印刷頁6），Table 2.1</t>
        </is>
      </c>
      <c r="M240" s="77" t="inlineStr">
        <is>
          <t>分母為同屆全體有回應畢業生；10月快照。</t>
        </is>
      </c>
      <c r="N240" s="77" t="inlineStr">
        <is>
          <t>已從官方PDF逐表轉錄並經加總／視覺核對</t>
        </is>
      </c>
    </row>
    <row r="241" ht="30" customHeight="1">
      <c r="A241" s="78" t="inlineStr">
        <is>
          <t>EDB_S6_2024_T21_NEITHER_EMPLOYMENT_NOR_STUDY_ALL_SHARE</t>
        </is>
      </c>
      <c r="B241" s="78" t="inlineStr">
        <is>
          <t>表2.1｜全體有回應畢業生｜既非工作亦非求學比例</t>
        </is>
      </c>
      <c r="C241" s="78" t="inlineStr">
        <is>
          <t>2024</t>
        </is>
      </c>
      <c r="D241" s="78" t="inlineStr">
        <is>
          <t>中學後／中六畢業出口</t>
        </is>
      </c>
      <c r="E241" s="78" t="inlineStr">
        <is>
          <t>EDB指定本地普通中學日校之有回應中六畢業生；按指標另註</t>
        </is>
      </c>
      <c r="F241" s="78" t="inlineStr">
        <is>
          <t>455</t>
        </is>
      </c>
      <c r="G241" s="78" t="inlineStr">
        <is>
          <t>41385</t>
        </is>
      </c>
      <c r="H241" s="78" t="inlineStr">
        <is>
          <t>1.1</t>
        </is>
      </c>
      <c r="I241" s="78" t="inlineStr">
        <is>
          <t>%</t>
        </is>
      </c>
      <c r="J241" s="78" t="inlineStr">
        <is>
          <t>官方公布比例</t>
        </is>
      </c>
      <c r="K241" s="78" t="inlineStr">
        <is>
          <t>EDB-S6-2024</t>
        </is>
      </c>
      <c r="L241" s="78" t="inlineStr">
        <is>
          <t>PDF p.11（印刷頁6），Table 2.1</t>
        </is>
      </c>
      <c r="M241" s="78" t="inlineStr">
        <is>
          <t>保留EDB公布至小數一位的比例；不得當作終身結果。</t>
        </is>
      </c>
      <c r="N241" s="78" t="inlineStr">
        <is>
          <t>已從官方PDF逐表轉錄並經加總／視覺核對</t>
        </is>
      </c>
    </row>
    <row r="242" ht="30" customHeight="1">
      <c r="A242" s="77" t="inlineStr">
        <is>
          <t>EDB_S6_2024_T22_BACHELOR_COUNT</t>
        </is>
      </c>
      <c r="B242" s="77" t="inlineStr">
        <is>
          <t>表2.2｜全體全日制求學者｜學士學位課程人數</t>
        </is>
      </c>
      <c r="C242" s="77" t="inlineStr">
        <is>
          <t>2024</t>
        </is>
      </c>
      <c r="D242" s="77" t="inlineStr">
        <is>
          <t>中學後／中六畢業出口</t>
        </is>
      </c>
      <c r="E242" s="77" t="inlineStr">
        <is>
          <t>EDB指定本地普通中學日校之有回應中六畢業生；按指標另註</t>
        </is>
      </c>
      <c r="F242" s="77" t="inlineStr">
        <is>
          <t>19025</t>
        </is>
      </c>
      <c r="G242" s="77" t="inlineStr">
        <is>
          <t>39129</t>
        </is>
      </c>
      <c r="H242" s="77" t="inlineStr">
        <is>
          <t>19025</t>
        </is>
      </c>
      <c r="I242" s="77" t="inlineStr">
        <is>
          <t>人</t>
        </is>
      </c>
      <c r="J242" s="77" t="inlineStr">
        <is>
          <t>官方照錄</t>
        </is>
      </c>
      <c r="K242" s="77" t="inlineStr">
        <is>
          <t>EDB-S6-2024</t>
        </is>
      </c>
      <c r="L242" s="77" t="inlineStr">
        <is>
          <t>PDF p.14（印刷頁9），Table 2.2</t>
        </is>
      </c>
      <c r="M242" s="77" t="inlineStr">
        <is>
          <t>分母為全體全日制求學者；本科／專上分類包括公帑資助、自資及海外院校；不是政府資助學額或錄取率。</t>
        </is>
      </c>
      <c r="N242" s="77" t="inlineStr">
        <is>
          <t>已從官方PDF逐表轉錄並經加總／視覺核對</t>
        </is>
      </c>
    </row>
    <row r="243" ht="30" customHeight="1">
      <c r="A243" s="78" t="inlineStr">
        <is>
          <t>EDB_S6_2024_T22_BACHELOR_SHARE</t>
        </is>
      </c>
      <c r="B243" s="78" t="inlineStr">
        <is>
          <t>表2.2｜全體全日制求學者｜學士學位課程比例</t>
        </is>
      </c>
      <c r="C243" s="78" t="inlineStr">
        <is>
          <t>2024</t>
        </is>
      </c>
      <c r="D243" s="78" t="inlineStr">
        <is>
          <t>中學後／中六畢業出口</t>
        </is>
      </c>
      <c r="E243" s="78" t="inlineStr">
        <is>
          <t>EDB指定本地普通中學日校之有回應中六畢業生；按指標另註</t>
        </is>
      </c>
      <c r="F243" s="78" t="inlineStr">
        <is>
          <t>19025</t>
        </is>
      </c>
      <c r="G243" s="78" t="inlineStr">
        <is>
          <t>39129</t>
        </is>
      </c>
      <c r="H243" s="78" t="inlineStr">
        <is>
          <t>48.6</t>
        </is>
      </c>
      <c r="I243" s="78" t="inlineStr">
        <is>
          <t>%</t>
        </is>
      </c>
      <c r="J243" s="78" t="inlineStr">
        <is>
          <t>官方公布比例</t>
        </is>
      </c>
      <c r="K243" s="78" t="inlineStr">
        <is>
          <t>EDB-S6-2024</t>
        </is>
      </c>
      <c r="L243" s="78" t="inlineStr">
        <is>
          <t>PDF p.14（印刷頁9），Table 2.2</t>
        </is>
      </c>
      <c r="M243" s="78" t="inlineStr">
        <is>
          <t>分母為全體全日制求學者；本科／專上分類包括公帑資助、自資及海外院校；不是政府資助學額或錄取率。</t>
        </is>
      </c>
      <c r="N243" s="78" t="inlineStr">
        <is>
          <t>已從官方PDF逐表轉錄並經加總／視覺核對</t>
        </is>
      </c>
    </row>
    <row r="244" ht="30" customHeight="1">
      <c r="A244" s="77" t="inlineStr">
        <is>
          <t>EDB_S6_2024_T22_POSTSECONDARY_COUNT</t>
        </is>
      </c>
      <c r="B244" s="77" t="inlineStr">
        <is>
          <t>表2.2｜全體全日制求學者｜專上課程（副學士／高級文憑）人數</t>
        </is>
      </c>
      <c r="C244" s="77" t="inlineStr">
        <is>
          <t>2024</t>
        </is>
      </c>
      <c r="D244" s="77" t="inlineStr">
        <is>
          <t>中學後／中六畢業出口</t>
        </is>
      </c>
      <c r="E244" s="77" t="inlineStr">
        <is>
          <t>EDB指定本地普通中學日校之有回應中六畢業生；按指標另註</t>
        </is>
      </c>
      <c r="F244" s="77" t="inlineStr">
        <is>
          <t>13160</t>
        </is>
      </c>
      <c r="G244" s="77" t="inlineStr">
        <is>
          <t>39129</t>
        </is>
      </c>
      <c r="H244" s="77" t="inlineStr">
        <is>
          <t>13160</t>
        </is>
      </c>
      <c r="I244" s="77" t="inlineStr">
        <is>
          <t>人</t>
        </is>
      </c>
      <c r="J244" s="77" t="inlineStr">
        <is>
          <t>官方照錄</t>
        </is>
      </c>
      <c r="K244" s="77" t="inlineStr">
        <is>
          <t>EDB-S6-2024</t>
        </is>
      </c>
      <c r="L244" s="77" t="inlineStr">
        <is>
          <t>PDF p.14（印刷頁9），Table 2.2</t>
        </is>
      </c>
      <c r="M244" s="77" t="inlineStr">
        <is>
          <t>分母為全體全日制求學者；本科／專上分類包括公帑資助、自資及海外院校；不是政府資助學額或錄取率。</t>
        </is>
      </c>
      <c r="N244" s="77" t="inlineStr">
        <is>
          <t>已從官方PDF逐表轉錄並經加總／視覺核對</t>
        </is>
      </c>
    </row>
    <row r="245" ht="30" customHeight="1">
      <c r="A245" s="78" t="inlineStr">
        <is>
          <t>EDB_S6_2024_T22_POSTSECONDARY_SHARE</t>
        </is>
      </c>
      <c r="B245" s="78" t="inlineStr">
        <is>
          <t>表2.2｜全體全日制求學者｜專上課程（副學士／高級文憑）比例</t>
        </is>
      </c>
      <c r="C245" s="78" t="inlineStr">
        <is>
          <t>2024</t>
        </is>
      </c>
      <c r="D245" s="78" t="inlineStr">
        <is>
          <t>中學後／中六畢業出口</t>
        </is>
      </c>
      <c r="E245" s="78" t="inlineStr">
        <is>
          <t>EDB指定本地普通中學日校之有回應中六畢業生；按指標另註</t>
        </is>
      </c>
      <c r="F245" s="78" t="inlineStr">
        <is>
          <t>13160</t>
        </is>
      </c>
      <c r="G245" s="78" t="inlineStr">
        <is>
          <t>39129</t>
        </is>
      </c>
      <c r="H245" s="78" t="inlineStr">
        <is>
          <t>33.6</t>
        </is>
      </c>
      <c r="I245" s="78" t="inlineStr">
        <is>
          <t>%</t>
        </is>
      </c>
      <c r="J245" s="78" t="inlineStr">
        <is>
          <t>官方公布比例</t>
        </is>
      </c>
      <c r="K245" s="78" t="inlineStr">
        <is>
          <t>EDB-S6-2024</t>
        </is>
      </c>
      <c r="L245" s="78" t="inlineStr">
        <is>
          <t>PDF p.14（印刷頁9），Table 2.2</t>
        </is>
      </c>
      <c r="M245" s="78" t="inlineStr">
        <is>
          <t>分母為全體全日制求學者；本科／專上分類包括公帑資助、自資及海外院校；不是政府資助學額或錄取率。</t>
        </is>
      </c>
      <c r="N245" s="78" t="inlineStr">
        <is>
          <t>已從官方PDF逐表轉錄並經加總／視覺核對</t>
        </is>
      </c>
    </row>
    <row r="246" ht="30" customHeight="1">
      <c r="A246" s="77" t="inlineStr">
        <is>
          <t>EDB_S6_2024_T22_OTHER_FULL_TIME_COUNT</t>
        </is>
      </c>
      <c r="B246" s="77" t="inlineStr">
        <is>
          <t>表2.2｜全體全日制求學者｜其他全日制課程人數</t>
        </is>
      </c>
      <c r="C246" s="77" t="inlineStr">
        <is>
          <t>2024</t>
        </is>
      </c>
      <c r="D246" s="77" t="inlineStr">
        <is>
          <t>中學後／中六畢業出口</t>
        </is>
      </c>
      <c r="E246" s="77" t="inlineStr">
        <is>
          <t>EDB指定本地普通中學日校之有回應中六畢業生；按指標另註</t>
        </is>
      </c>
      <c r="F246" s="77" t="inlineStr">
        <is>
          <t>6870</t>
        </is>
      </c>
      <c r="G246" s="77" t="inlineStr">
        <is>
          <t>39129</t>
        </is>
      </c>
      <c r="H246" s="77" t="inlineStr">
        <is>
          <t>6870</t>
        </is>
      </c>
      <c r="I246" s="77" t="inlineStr">
        <is>
          <t>人</t>
        </is>
      </c>
      <c r="J246" s="77" t="inlineStr">
        <is>
          <t>官方照錄</t>
        </is>
      </c>
      <c r="K246" s="77" t="inlineStr">
        <is>
          <t>EDB-S6-2024</t>
        </is>
      </c>
      <c r="L246" s="77" t="inlineStr">
        <is>
          <t>PDF p.14（印刷頁9），Table 2.2</t>
        </is>
      </c>
      <c r="M246" s="77" t="inlineStr">
        <is>
          <t>分母為全體全日制求學者；其他全日制課程跨2021–22及2023–25不宜直接作嚴格同比，詳見分類crosswalk。</t>
        </is>
      </c>
      <c r="N246" s="77" t="inlineStr">
        <is>
          <t>已從官方PDF逐表轉錄並經加總／視覺核對</t>
        </is>
      </c>
    </row>
    <row r="247" ht="30" customHeight="1">
      <c r="A247" s="78" t="inlineStr">
        <is>
          <t>EDB_S6_2024_T22_OTHER_FULL_TIME_SHARE</t>
        </is>
      </c>
      <c r="B247" s="78" t="inlineStr">
        <is>
          <t>表2.2｜全體全日制求學者｜其他全日制課程比例</t>
        </is>
      </c>
      <c r="C247" s="78" t="inlineStr">
        <is>
          <t>2024</t>
        </is>
      </c>
      <c r="D247" s="78" t="inlineStr">
        <is>
          <t>中學後／中六畢業出口</t>
        </is>
      </c>
      <c r="E247" s="78" t="inlineStr">
        <is>
          <t>EDB指定本地普通中學日校之有回應中六畢業生；按指標另註</t>
        </is>
      </c>
      <c r="F247" s="78" t="inlineStr">
        <is>
          <t>6870</t>
        </is>
      </c>
      <c r="G247" s="78" t="inlineStr">
        <is>
          <t>39129</t>
        </is>
      </c>
      <c r="H247" s="78" t="inlineStr">
        <is>
          <t>17.6</t>
        </is>
      </c>
      <c r="I247" s="78" t="inlineStr">
        <is>
          <t>%</t>
        </is>
      </c>
      <c r="J247" s="78" t="inlineStr">
        <is>
          <t>官方公布比例</t>
        </is>
      </c>
      <c r="K247" s="78" t="inlineStr">
        <is>
          <t>EDB-S6-2024</t>
        </is>
      </c>
      <c r="L247" s="78" t="inlineStr">
        <is>
          <t>PDF p.14（印刷頁9），Table 2.2</t>
        </is>
      </c>
      <c r="M247" s="78" t="inlineStr">
        <is>
          <t>分母為全體全日制求學者；其他全日制課程跨2021–22及2023–25不宜直接作嚴格同比，詳見分類crosswalk。</t>
        </is>
      </c>
      <c r="N247" s="78" t="inlineStr">
        <is>
          <t>已從官方PDF逐表轉錄並經加總／視覺核對</t>
        </is>
      </c>
    </row>
    <row r="248" ht="30" customHeight="1">
      <c r="A248" s="77" t="inlineStr">
        <is>
          <t>EDB_S6_2024_T22_SECONDARY_6_COURSE_COUNT</t>
        </is>
      </c>
      <c r="B248" s="77" t="inlineStr">
        <is>
          <t>表2.2｜全體全日制求學者｜中六課程人數</t>
        </is>
      </c>
      <c r="C248" s="77" t="inlineStr">
        <is>
          <t>2024</t>
        </is>
      </c>
      <c r="D248" s="77" t="inlineStr">
        <is>
          <t>中學後／中六畢業出口</t>
        </is>
      </c>
      <c r="E248" s="77" t="inlineStr">
        <is>
          <t>EDB指定本地普通中學日校之有回應中六畢業生；按指標另註</t>
        </is>
      </c>
      <c r="F248" s="77" t="inlineStr">
        <is>
          <t>74</t>
        </is>
      </c>
      <c r="G248" s="77" t="inlineStr">
        <is>
          <t>39129</t>
        </is>
      </c>
      <c r="H248" s="77" t="inlineStr">
        <is>
          <t>74</t>
        </is>
      </c>
      <c r="I248" s="77" t="inlineStr">
        <is>
          <t>人</t>
        </is>
      </c>
      <c r="J248" s="77" t="inlineStr">
        <is>
          <t>官方照錄</t>
        </is>
      </c>
      <c r="K248" s="77" t="inlineStr">
        <is>
          <t>EDB-S6-2024</t>
        </is>
      </c>
      <c r="L248" s="77" t="inlineStr">
        <is>
          <t>PDF p.14（印刷頁9），Table 2.2</t>
        </is>
      </c>
      <c r="M248" s="77" t="inlineStr">
        <is>
          <t>分母為全體全日制求學者；本科／專上分類包括公帑資助、自資及海外院校；不是政府資助學額或錄取率。</t>
        </is>
      </c>
      <c r="N248" s="77" t="inlineStr">
        <is>
          <t>已從官方PDF逐表轉錄並經加總／視覺核對</t>
        </is>
      </c>
    </row>
    <row r="249" ht="30" customHeight="1">
      <c r="A249" s="78" t="inlineStr">
        <is>
          <t>EDB_S6_2024_T22_SECONDARY_6_COURSE_SHARE</t>
        </is>
      </c>
      <c r="B249" s="78" t="inlineStr">
        <is>
          <t>表2.2｜全體全日制求學者｜中六課程比例</t>
        </is>
      </c>
      <c r="C249" s="78" t="inlineStr">
        <is>
          <t>2024</t>
        </is>
      </c>
      <c r="D249" s="78" t="inlineStr">
        <is>
          <t>中學後／中六畢業出口</t>
        </is>
      </c>
      <c r="E249" s="78" t="inlineStr">
        <is>
          <t>EDB指定本地普通中學日校之有回應中六畢業生；按指標另註</t>
        </is>
      </c>
      <c r="F249" s="78" t="inlineStr">
        <is>
          <t>74</t>
        </is>
      </c>
      <c r="G249" s="78" t="inlineStr">
        <is>
          <t>39129</t>
        </is>
      </c>
      <c r="H249" s="78" t="inlineStr">
        <is>
          <t>0.2</t>
        </is>
      </c>
      <c r="I249" s="78" t="inlineStr">
        <is>
          <t>%</t>
        </is>
      </c>
      <c r="J249" s="78" t="inlineStr">
        <is>
          <t>官方公布比例</t>
        </is>
      </c>
      <c r="K249" s="78" t="inlineStr">
        <is>
          <t>EDB-S6-2024</t>
        </is>
      </c>
      <c r="L249" s="78" t="inlineStr">
        <is>
          <t>PDF p.14（印刷頁9），Table 2.2</t>
        </is>
      </c>
      <c r="M249" s="78" t="inlineStr">
        <is>
          <t>分母為全體全日制求學者；本科／專上分類包括公帑資助、自資及海外院校；不是政府資助學額或錄取率。</t>
        </is>
      </c>
      <c r="N249" s="78" t="inlineStr">
        <is>
          <t>已從官方PDF逐表轉錄並經加總／視覺核對</t>
        </is>
      </c>
    </row>
    <row r="250" ht="30" customHeight="1">
      <c r="A250" s="77" t="inlineStr">
        <is>
          <t>EDB_S6_2024_CHART25_OUTSIDE_HK_COUNT</t>
        </is>
      </c>
      <c r="B250" s="77" t="inlineStr">
        <is>
          <t>Chart 2.5｜香港以外全日制求學人數</t>
        </is>
      </c>
      <c r="C250" s="77" t="inlineStr">
        <is>
          <t>2024</t>
        </is>
      </c>
      <c r="D250" s="77" t="inlineStr">
        <is>
          <t>中學後／中六畢業出口</t>
        </is>
      </c>
      <c r="E250" s="77" t="inlineStr">
        <is>
          <t>EDB指定本地普通中學日校之有回應中六畢業生；按指標另註</t>
        </is>
      </c>
      <c r="F250" s="77" t="inlineStr">
        <is>
          <t>3061</t>
        </is>
      </c>
      <c r="G250" s="77" t="inlineStr">
        <is>
          <t>39129</t>
        </is>
      </c>
      <c r="H250" s="77" t="inlineStr">
        <is>
          <t>3061</t>
        </is>
      </c>
      <c r="I250" s="77" t="inlineStr">
        <is>
          <t>人</t>
        </is>
      </c>
      <c r="J250" s="77" t="inlineStr">
        <is>
          <t>官方照錄</t>
        </is>
      </c>
      <c r="K250" s="77" t="inlineStr">
        <is>
          <t>EDB-S6-2024</t>
        </is>
      </c>
      <c r="L250" s="77" t="inlineStr">
        <is>
          <t>PDF p.16（印刷頁11），Chart 2.5</t>
        </is>
      </c>
      <c r="M250" s="77" t="inlineStr">
        <is>
          <t>分母為同屆全日制求學者；只代表10月調查狀況。</t>
        </is>
      </c>
      <c r="N250" s="77" t="inlineStr">
        <is>
          <t>已從官方PDF逐表轉錄並經加總／視覺核對</t>
        </is>
      </c>
    </row>
    <row r="251" ht="30" customHeight="1">
      <c r="A251" s="78" t="inlineStr">
        <is>
          <t>EDB_S6_2024_CHART25_OUTSIDE_HK_SHARE</t>
        </is>
      </c>
      <c r="B251" s="78" t="inlineStr">
        <is>
          <t>Chart 2.5｜香港以外全日制求學比例</t>
        </is>
      </c>
      <c r="C251" s="78" t="inlineStr">
        <is>
          <t>2024</t>
        </is>
      </c>
      <c r="D251" s="78" t="inlineStr">
        <is>
          <t>中學後／中六畢業出口</t>
        </is>
      </c>
      <c r="E251" s="78" t="inlineStr">
        <is>
          <t>EDB指定本地普通中學日校之有回應中六畢業生；按指標另註</t>
        </is>
      </c>
      <c r="F251" s="78" t="inlineStr">
        <is>
          <t>3061</t>
        </is>
      </c>
      <c r="G251" s="78" t="inlineStr">
        <is>
          <t>39129</t>
        </is>
      </c>
      <c r="H251" s="78" t="inlineStr">
        <is>
          <t>7.8</t>
        </is>
      </c>
      <c r="I251" s="78" t="inlineStr">
        <is>
          <t>%</t>
        </is>
      </c>
      <c r="J251" s="78" t="inlineStr">
        <is>
          <t>官方公布比例</t>
        </is>
      </c>
      <c r="K251" s="78" t="inlineStr">
        <is>
          <t>EDB-S6-2024</t>
        </is>
      </c>
      <c r="L251" s="78" t="inlineStr">
        <is>
          <t>PDF p.16（印刷頁11），Chart 2.5</t>
        </is>
      </c>
      <c r="M251" s="78" t="inlineStr">
        <is>
          <t>分母為同屆全日制求學者；只代表10月調查狀況。</t>
        </is>
      </c>
      <c r="N251" s="78" t="inlineStr">
        <is>
          <t>已從官方PDF逐表轉錄並經加總／視覺核對</t>
        </is>
      </c>
    </row>
    <row r="252" ht="30" customHeight="1">
      <c r="A252" s="77" t="inlineStr">
        <is>
          <t>EDB_S6_2024_CHART25_HONG_KONG_COUNT</t>
        </is>
      </c>
      <c r="B252" s="77" t="inlineStr">
        <is>
          <t>Chart 2.5｜香港全日制求學人數</t>
        </is>
      </c>
      <c r="C252" s="77" t="inlineStr">
        <is>
          <t>2024</t>
        </is>
      </c>
      <c r="D252" s="77" t="inlineStr">
        <is>
          <t>中學後／中六畢業出口</t>
        </is>
      </c>
      <c r="E252" s="77" t="inlineStr">
        <is>
          <t>EDB指定本地普通中學日校之有回應中六畢業生；按指標另註</t>
        </is>
      </c>
      <c r="F252" s="77" t="inlineStr">
        <is>
          <t>36068</t>
        </is>
      </c>
      <c r="G252" s="77" t="inlineStr">
        <is>
          <t>39129</t>
        </is>
      </c>
      <c r="H252" s="77" t="inlineStr">
        <is>
          <t>36068</t>
        </is>
      </c>
      <c r="I252" s="77" t="inlineStr">
        <is>
          <t>人</t>
        </is>
      </c>
      <c r="J252" s="77" t="inlineStr">
        <is>
          <t>官方照錄</t>
        </is>
      </c>
      <c r="K252" s="77" t="inlineStr">
        <is>
          <t>EDB-S6-2024</t>
        </is>
      </c>
      <c r="L252" s="77" t="inlineStr">
        <is>
          <t>PDF p.16（印刷頁11），Chart 2.5</t>
        </is>
      </c>
      <c r="M252" s="77" t="inlineStr">
        <is>
          <t>分母為同屆全日制求學者；只代表10月調查狀況。</t>
        </is>
      </c>
      <c r="N252" s="77" t="inlineStr">
        <is>
          <t>已從官方PDF逐表轉錄並經加總／視覺核對</t>
        </is>
      </c>
    </row>
    <row r="253" ht="30" customHeight="1">
      <c r="A253" s="78" t="inlineStr">
        <is>
          <t>EDB_S6_2024_CHART25_HONG_KONG_SHARE</t>
        </is>
      </c>
      <c r="B253" s="78" t="inlineStr">
        <is>
          <t>Chart 2.5｜香港全日制求學比例</t>
        </is>
      </c>
      <c r="C253" s="78" t="inlineStr">
        <is>
          <t>2024</t>
        </is>
      </c>
      <c r="D253" s="78" t="inlineStr">
        <is>
          <t>中學後／中六畢業出口</t>
        </is>
      </c>
      <c r="E253" s="78" t="inlineStr">
        <is>
          <t>EDB指定本地普通中學日校之有回應中六畢業生；按指標另註</t>
        </is>
      </c>
      <c r="F253" s="78" t="inlineStr">
        <is>
          <t>36068</t>
        </is>
      </c>
      <c r="G253" s="78" t="inlineStr">
        <is>
          <t>39129</t>
        </is>
      </c>
      <c r="H253" s="78" t="inlineStr">
        <is>
          <t>92.2</t>
        </is>
      </c>
      <c r="I253" s="78" t="inlineStr">
        <is>
          <t>%</t>
        </is>
      </c>
      <c r="J253" s="78" t="inlineStr">
        <is>
          <t>官方公布比例</t>
        </is>
      </c>
      <c r="K253" s="78" t="inlineStr">
        <is>
          <t>EDB-S6-2024</t>
        </is>
      </c>
      <c r="L253" s="78" t="inlineStr">
        <is>
          <t>PDF p.16（印刷頁11），Chart 2.5</t>
        </is>
      </c>
      <c r="M253" s="78" t="inlineStr">
        <is>
          <t>分母為同屆全日制求學者；只代表10月調查狀況。</t>
        </is>
      </c>
      <c r="N253" s="78" t="inlineStr">
        <is>
          <t>已從官方PDF逐表轉錄並經加總／視覺核對</t>
        </is>
      </c>
    </row>
    <row r="254" ht="30" customHeight="1">
      <c r="A254" s="77" t="inlineStr">
        <is>
          <t>EDB_S6_2024_T23_MAINLAND_COUNT</t>
        </is>
      </c>
      <c r="B254" s="77" t="inlineStr">
        <is>
          <t>表2.3｜中國內地全日制升學人數</t>
        </is>
      </c>
      <c r="C254" s="77" t="inlineStr">
        <is>
          <t>2024</t>
        </is>
      </c>
      <c r="D254" s="77" t="inlineStr">
        <is>
          <t>中學後／中六畢業出口</t>
        </is>
      </c>
      <c r="E254" s="77" t="inlineStr">
        <is>
          <t>EDB指定本地普通中學日校之有回應中六畢業生；按指標另註</t>
        </is>
      </c>
      <c r="F254" s="77" t="inlineStr">
        <is>
          <t>1339</t>
        </is>
      </c>
      <c r="G254" s="77" t="inlineStr">
        <is>
          <t>3061</t>
        </is>
      </c>
      <c r="H254" s="77" t="inlineStr">
        <is>
          <t>1339</t>
        </is>
      </c>
      <c r="I254" s="77" t="inlineStr">
        <is>
          <t>人</t>
        </is>
      </c>
      <c r="J254" s="77" t="inlineStr">
        <is>
          <t>官方照錄</t>
        </is>
      </c>
      <c r="K254" s="77" t="inlineStr">
        <is>
          <t>EDB-S6-2024</t>
        </is>
      </c>
      <c r="L254" s="77" t="inlineStr">
        <is>
          <t>PDF p.19（印刷頁14），Table 2.3</t>
        </is>
      </c>
      <c r="M254" s="77" t="inlineStr">
        <is>
          <t>分母為全體境外全日制求學者；不是全部S6畢業生。</t>
        </is>
      </c>
      <c r="N254" s="77" t="inlineStr">
        <is>
          <t>已從官方PDF逐表轉錄並經加總／視覺核對</t>
        </is>
      </c>
    </row>
    <row r="255" ht="30" customHeight="1">
      <c r="A255" s="78" t="inlineStr">
        <is>
          <t>EDB_S6_2024_T23_MAINLAND_SHARE</t>
        </is>
      </c>
      <c r="B255" s="78" t="inlineStr">
        <is>
          <t>表2.3｜中國內地佔境外升學者比例</t>
        </is>
      </c>
      <c r="C255" s="78" t="inlineStr">
        <is>
          <t>2024</t>
        </is>
      </c>
      <c r="D255" s="78" t="inlineStr">
        <is>
          <t>中學後／中六畢業出口</t>
        </is>
      </c>
      <c r="E255" s="78" t="inlineStr">
        <is>
          <t>EDB指定本地普通中學日校之有回應中六畢業生；按指標另註</t>
        </is>
      </c>
      <c r="F255" s="78" t="inlineStr">
        <is>
          <t>1339</t>
        </is>
      </c>
      <c r="G255" s="78" t="inlineStr">
        <is>
          <t>3061</t>
        </is>
      </c>
      <c r="H255" s="78" t="inlineStr">
        <is>
          <t>43.7</t>
        </is>
      </c>
      <c r="I255" s="78" t="inlineStr">
        <is>
          <t>%</t>
        </is>
      </c>
      <c r="J255" s="78" t="inlineStr">
        <is>
          <t>官方公布比例</t>
        </is>
      </c>
      <c r="K255" s="78" t="inlineStr">
        <is>
          <t>EDB-S6-2024</t>
        </is>
      </c>
      <c r="L255" s="78" t="inlineStr">
        <is>
          <t>PDF p.19（印刷頁14），Table 2.3</t>
        </is>
      </c>
      <c r="M255" s="78" t="inlineStr">
        <is>
          <t>分母為全體境外全日制求學者；不可解讀成全體畢業生比例。</t>
        </is>
      </c>
      <c r="N255" s="78" t="inlineStr">
        <is>
          <t>已從官方PDF逐表轉錄並經加總／視覺核對</t>
        </is>
      </c>
    </row>
    <row r="256" ht="30" customHeight="1">
      <c r="A256" s="77" t="inlineStr">
        <is>
          <t>EDB_S6_2024_T23_UK_COUNT</t>
        </is>
      </c>
      <c r="B256" s="77" t="inlineStr">
        <is>
          <t>表2.3｜英國全日制升學人數</t>
        </is>
      </c>
      <c r="C256" s="77" t="inlineStr">
        <is>
          <t>2024</t>
        </is>
      </c>
      <c r="D256" s="77" t="inlineStr">
        <is>
          <t>中學後／中六畢業出口</t>
        </is>
      </c>
      <c r="E256" s="77" t="inlineStr">
        <is>
          <t>EDB指定本地普通中學日校之有回應中六畢業生；按指標另註</t>
        </is>
      </c>
      <c r="F256" s="77" t="inlineStr">
        <is>
          <t>647</t>
        </is>
      </c>
      <c r="G256" s="77" t="inlineStr">
        <is>
          <t>3061</t>
        </is>
      </c>
      <c r="H256" s="77" t="inlineStr">
        <is>
          <t>647</t>
        </is>
      </c>
      <c r="I256" s="77" t="inlineStr">
        <is>
          <t>人</t>
        </is>
      </c>
      <c r="J256" s="77" t="inlineStr">
        <is>
          <t>官方照錄</t>
        </is>
      </c>
      <c r="K256" s="77" t="inlineStr">
        <is>
          <t>EDB-S6-2024</t>
        </is>
      </c>
      <c r="L256" s="77" t="inlineStr">
        <is>
          <t>PDF p.19（印刷頁14），Table 2.3</t>
        </is>
      </c>
      <c r="M256" s="77" t="inlineStr">
        <is>
          <t>分母為全體境外全日制求學者；不是全部S6畢業生。</t>
        </is>
      </c>
      <c r="N256" s="77" t="inlineStr">
        <is>
          <t>已從官方PDF逐表轉錄並經加總／視覺核對</t>
        </is>
      </c>
    </row>
    <row r="257" ht="30" customHeight="1">
      <c r="A257" s="78" t="inlineStr">
        <is>
          <t>EDB_S6_2024_T23_UK_SHARE</t>
        </is>
      </c>
      <c r="B257" s="78" t="inlineStr">
        <is>
          <t>表2.3｜英國佔境外升學者比例</t>
        </is>
      </c>
      <c r="C257" s="78" t="inlineStr">
        <is>
          <t>2024</t>
        </is>
      </c>
      <c r="D257" s="78" t="inlineStr">
        <is>
          <t>中學後／中六畢業出口</t>
        </is>
      </c>
      <c r="E257" s="78" t="inlineStr">
        <is>
          <t>EDB指定本地普通中學日校之有回應中六畢業生；按指標另註</t>
        </is>
      </c>
      <c r="F257" s="78" t="inlineStr">
        <is>
          <t>647</t>
        </is>
      </c>
      <c r="G257" s="78" t="inlineStr">
        <is>
          <t>3061</t>
        </is>
      </c>
      <c r="H257" s="78" t="inlineStr">
        <is>
          <t>21.1</t>
        </is>
      </c>
      <c r="I257" s="78" t="inlineStr">
        <is>
          <t>%</t>
        </is>
      </c>
      <c r="J257" s="78" t="inlineStr">
        <is>
          <t>官方公布比例</t>
        </is>
      </c>
      <c r="K257" s="78" t="inlineStr">
        <is>
          <t>EDB-S6-2024</t>
        </is>
      </c>
      <c r="L257" s="78" t="inlineStr">
        <is>
          <t>PDF p.19（印刷頁14），Table 2.3</t>
        </is>
      </c>
      <c r="M257" s="78" t="inlineStr">
        <is>
          <t>分母為全體境外全日制求學者；不可解讀成全體畢業生比例。</t>
        </is>
      </c>
      <c r="N257" s="78" t="inlineStr">
        <is>
          <t>已從官方PDF逐表轉錄並經加總／視覺核對</t>
        </is>
      </c>
    </row>
    <row r="258" ht="30" customHeight="1">
      <c r="A258" s="77" t="inlineStr">
        <is>
          <t>EDB_S6_2024_T23_AUSTRALIA_COUNT</t>
        </is>
      </c>
      <c r="B258" s="77" t="inlineStr">
        <is>
          <t>表2.3｜澳洲全日制升學人數</t>
        </is>
      </c>
      <c r="C258" s="77" t="inlineStr">
        <is>
          <t>2024</t>
        </is>
      </c>
      <c r="D258" s="77" t="inlineStr">
        <is>
          <t>中學後／中六畢業出口</t>
        </is>
      </c>
      <c r="E258" s="77" t="inlineStr">
        <is>
          <t>EDB指定本地普通中學日校之有回應中六畢業生；按指標另註</t>
        </is>
      </c>
      <c r="F258" s="77" t="inlineStr">
        <is>
          <t>338</t>
        </is>
      </c>
      <c r="G258" s="77" t="inlineStr">
        <is>
          <t>3061</t>
        </is>
      </c>
      <c r="H258" s="77" t="inlineStr">
        <is>
          <t>338</t>
        </is>
      </c>
      <c r="I258" s="77" t="inlineStr">
        <is>
          <t>人</t>
        </is>
      </c>
      <c r="J258" s="77" t="inlineStr">
        <is>
          <t>官方照錄</t>
        </is>
      </c>
      <c r="K258" s="77" t="inlineStr">
        <is>
          <t>EDB-S6-2024</t>
        </is>
      </c>
      <c r="L258" s="77" t="inlineStr">
        <is>
          <t>PDF p.19（印刷頁14），Table 2.3</t>
        </is>
      </c>
      <c r="M258" s="77" t="inlineStr">
        <is>
          <t>分母為全體境外全日制求學者；不是全部S6畢業生。</t>
        </is>
      </c>
      <c r="N258" s="77" t="inlineStr">
        <is>
          <t>已從官方PDF逐表轉錄並經加總／視覺核對</t>
        </is>
      </c>
    </row>
    <row r="259" ht="30" customHeight="1">
      <c r="A259" s="78" t="inlineStr">
        <is>
          <t>EDB_S6_2024_T23_AUSTRALIA_SHARE</t>
        </is>
      </c>
      <c r="B259" s="78" t="inlineStr">
        <is>
          <t>表2.3｜澳洲佔境外升學者比例</t>
        </is>
      </c>
      <c r="C259" s="78" t="inlineStr">
        <is>
          <t>2024</t>
        </is>
      </c>
      <c r="D259" s="78" t="inlineStr">
        <is>
          <t>中學後／中六畢業出口</t>
        </is>
      </c>
      <c r="E259" s="78" t="inlineStr">
        <is>
          <t>EDB指定本地普通中學日校之有回應中六畢業生；按指標另註</t>
        </is>
      </c>
      <c r="F259" s="78" t="inlineStr">
        <is>
          <t>338</t>
        </is>
      </c>
      <c r="G259" s="78" t="inlineStr">
        <is>
          <t>3061</t>
        </is>
      </c>
      <c r="H259" s="78" t="inlineStr">
        <is>
          <t>11.0</t>
        </is>
      </c>
      <c r="I259" s="78" t="inlineStr">
        <is>
          <t>%</t>
        </is>
      </c>
      <c r="J259" s="78" t="inlineStr">
        <is>
          <t>官方公布比例</t>
        </is>
      </c>
      <c r="K259" s="78" t="inlineStr">
        <is>
          <t>EDB-S6-2024</t>
        </is>
      </c>
      <c r="L259" s="78" t="inlineStr">
        <is>
          <t>PDF p.19（印刷頁14），Table 2.3</t>
        </is>
      </c>
      <c r="M259" s="78" t="inlineStr">
        <is>
          <t>分母為全體境外全日制求學者；不可解讀成全體畢業生比例。</t>
        </is>
      </c>
      <c r="N259" s="78" t="inlineStr">
        <is>
          <t>已從官方PDF逐表轉錄並經加總／視覺核對</t>
        </is>
      </c>
    </row>
    <row r="260" ht="30" customHeight="1">
      <c r="A260" s="77" t="inlineStr">
        <is>
          <t>EDB_S6_2024_T23_TAIWAN_COUNT</t>
        </is>
      </c>
      <c r="B260" s="77" t="inlineStr">
        <is>
          <t>表2.3｜台灣全日制升學人數</t>
        </is>
      </c>
      <c r="C260" s="77" t="inlineStr">
        <is>
          <t>2024</t>
        </is>
      </c>
      <c r="D260" s="77" t="inlineStr">
        <is>
          <t>中學後／中六畢業出口</t>
        </is>
      </c>
      <c r="E260" s="77" t="inlineStr">
        <is>
          <t>EDB指定本地普通中學日校之有回應中六畢業生；按指標另註</t>
        </is>
      </c>
      <c r="F260" s="77" t="inlineStr">
        <is>
          <t>309</t>
        </is>
      </c>
      <c r="G260" s="77" t="inlineStr">
        <is>
          <t>3061</t>
        </is>
      </c>
      <c r="H260" s="77" t="inlineStr">
        <is>
          <t>309</t>
        </is>
      </c>
      <c r="I260" s="77" t="inlineStr">
        <is>
          <t>人</t>
        </is>
      </c>
      <c r="J260" s="77" t="inlineStr">
        <is>
          <t>官方照錄</t>
        </is>
      </c>
      <c r="K260" s="77" t="inlineStr">
        <is>
          <t>EDB-S6-2024</t>
        </is>
      </c>
      <c r="L260" s="77" t="inlineStr">
        <is>
          <t>PDF p.19（印刷頁14），Table 2.3</t>
        </is>
      </c>
      <c r="M260" s="77" t="inlineStr">
        <is>
          <t>分母為全體境外全日制求學者；不是全部S6畢業生。</t>
        </is>
      </c>
      <c r="N260" s="77" t="inlineStr">
        <is>
          <t>已從官方PDF逐表轉錄並經加總／視覺核對</t>
        </is>
      </c>
    </row>
    <row r="261" ht="30" customHeight="1">
      <c r="A261" s="78" t="inlineStr">
        <is>
          <t>EDB_S6_2024_T23_TAIWAN_SHARE</t>
        </is>
      </c>
      <c r="B261" s="78" t="inlineStr">
        <is>
          <t>表2.3｜台灣佔境外升學者比例</t>
        </is>
      </c>
      <c r="C261" s="78" t="inlineStr">
        <is>
          <t>2024</t>
        </is>
      </c>
      <c r="D261" s="78" t="inlineStr">
        <is>
          <t>中學後／中六畢業出口</t>
        </is>
      </c>
      <c r="E261" s="78" t="inlineStr">
        <is>
          <t>EDB指定本地普通中學日校之有回應中六畢業生；按指標另註</t>
        </is>
      </c>
      <c r="F261" s="78" t="inlineStr">
        <is>
          <t>309</t>
        </is>
      </c>
      <c r="G261" s="78" t="inlineStr">
        <is>
          <t>3061</t>
        </is>
      </c>
      <c r="H261" s="78" t="inlineStr">
        <is>
          <t>10.1</t>
        </is>
      </c>
      <c r="I261" s="78" t="inlineStr">
        <is>
          <t>%</t>
        </is>
      </c>
      <c r="J261" s="78" t="inlineStr">
        <is>
          <t>官方公布比例</t>
        </is>
      </c>
      <c r="K261" s="78" t="inlineStr">
        <is>
          <t>EDB-S6-2024</t>
        </is>
      </c>
      <c r="L261" s="78" t="inlineStr">
        <is>
          <t>PDF p.19（印刷頁14），Table 2.3</t>
        </is>
      </c>
      <c r="M261" s="78" t="inlineStr">
        <is>
          <t>分母為全體境外全日制求學者；不可解讀成全體畢業生比例。</t>
        </is>
      </c>
      <c r="N261" s="78" t="inlineStr">
        <is>
          <t>已從官方PDF逐表轉錄並經加總／視覺核對</t>
        </is>
      </c>
    </row>
    <row r="262" ht="30" customHeight="1">
      <c r="A262" s="77" t="inlineStr">
        <is>
          <t>EDB_S6_2024_T23_CANADA_COUNT</t>
        </is>
      </c>
      <c r="B262" s="77" t="inlineStr">
        <is>
          <t>表2.3｜加拿大全日制升學人數</t>
        </is>
      </c>
      <c r="C262" s="77" t="inlineStr">
        <is>
          <t>2024</t>
        </is>
      </c>
      <c r="D262" s="77" t="inlineStr">
        <is>
          <t>中學後／中六畢業出口</t>
        </is>
      </c>
      <c r="E262" s="77" t="inlineStr">
        <is>
          <t>EDB指定本地普通中學日校之有回應中六畢業生；按指標另註</t>
        </is>
      </c>
      <c r="F262" s="77" t="inlineStr">
        <is>
          <t>149</t>
        </is>
      </c>
      <c r="G262" s="77" t="inlineStr">
        <is>
          <t>3061</t>
        </is>
      </c>
      <c r="H262" s="77" t="inlineStr">
        <is>
          <t>149</t>
        </is>
      </c>
      <c r="I262" s="77" t="inlineStr">
        <is>
          <t>人</t>
        </is>
      </c>
      <c r="J262" s="77" t="inlineStr">
        <is>
          <t>官方照錄</t>
        </is>
      </c>
      <c r="K262" s="77" t="inlineStr">
        <is>
          <t>EDB-S6-2024</t>
        </is>
      </c>
      <c r="L262" s="77" t="inlineStr">
        <is>
          <t>PDF p.19（印刷頁14），Table 2.3</t>
        </is>
      </c>
      <c r="M262" s="77" t="inlineStr">
        <is>
          <t>分母為全體境外全日制求學者；不是全部S6畢業生。</t>
        </is>
      </c>
      <c r="N262" s="77" t="inlineStr">
        <is>
          <t>已從官方PDF逐表轉錄並經加總／視覺核對</t>
        </is>
      </c>
    </row>
    <row r="263" ht="30" customHeight="1">
      <c r="A263" s="78" t="inlineStr">
        <is>
          <t>EDB_S6_2024_T23_CANADA_SHARE</t>
        </is>
      </c>
      <c r="B263" s="78" t="inlineStr">
        <is>
          <t>表2.3｜加拿大佔境外升學者比例</t>
        </is>
      </c>
      <c r="C263" s="78" t="inlineStr">
        <is>
          <t>2024</t>
        </is>
      </c>
      <c r="D263" s="78" t="inlineStr">
        <is>
          <t>中學後／中六畢業出口</t>
        </is>
      </c>
      <c r="E263" s="78" t="inlineStr">
        <is>
          <t>EDB指定本地普通中學日校之有回應中六畢業生；按指標另註</t>
        </is>
      </c>
      <c r="F263" s="78" t="inlineStr">
        <is>
          <t>149</t>
        </is>
      </c>
      <c r="G263" s="78" t="inlineStr">
        <is>
          <t>3061</t>
        </is>
      </c>
      <c r="H263" s="78" t="inlineStr">
        <is>
          <t>4.9</t>
        </is>
      </c>
      <c r="I263" s="78" t="inlineStr">
        <is>
          <t>%</t>
        </is>
      </c>
      <c r="J263" s="78" t="inlineStr">
        <is>
          <t>官方公布比例</t>
        </is>
      </c>
      <c r="K263" s="78" t="inlineStr">
        <is>
          <t>EDB-S6-2024</t>
        </is>
      </c>
      <c r="L263" s="78" t="inlineStr">
        <is>
          <t>PDF p.19（印刷頁14），Table 2.3</t>
        </is>
      </c>
      <c r="M263" s="78" t="inlineStr">
        <is>
          <t>分母為全體境外全日制求學者；不可解讀成全體畢業生比例。</t>
        </is>
      </c>
      <c r="N263" s="78" t="inlineStr">
        <is>
          <t>已從官方PDF逐表轉錄並經加總／視覺核對</t>
        </is>
      </c>
    </row>
    <row r="264" ht="30" customHeight="1">
      <c r="A264" s="77" t="inlineStr">
        <is>
          <t>EDB_S6_2024_T23_US_COUNT</t>
        </is>
      </c>
      <c r="B264" s="77" t="inlineStr">
        <is>
          <t>表2.3｜美國全日制升學人數</t>
        </is>
      </c>
      <c r="C264" s="77" t="inlineStr">
        <is>
          <t>2024</t>
        </is>
      </c>
      <c r="D264" s="77" t="inlineStr">
        <is>
          <t>中學後／中六畢業出口</t>
        </is>
      </c>
      <c r="E264" s="77" t="inlineStr">
        <is>
          <t>EDB指定本地普通中學日校之有回應中六畢業生；按指標另註</t>
        </is>
      </c>
      <c r="F264" s="77" t="inlineStr">
        <is>
          <t>67</t>
        </is>
      </c>
      <c r="G264" s="77" t="inlineStr">
        <is>
          <t>3061</t>
        </is>
      </c>
      <c r="H264" s="77" t="inlineStr">
        <is>
          <t>67</t>
        </is>
      </c>
      <c r="I264" s="77" t="inlineStr">
        <is>
          <t>人</t>
        </is>
      </c>
      <c r="J264" s="77" t="inlineStr">
        <is>
          <t>官方照錄</t>
        </is>
      </c>
      <c r="K264" s="77" t="inlineStr">
        <is>
          <t>EDB-S6-2024</t>
        </is>
      </c>
      <c r="L264" s="77" t="inlineStr">
        <is>
          <t>PDF p.19（印刷頁14），Table 2.3</t>
        </is>
      </c>
      <c r="M264" s="77" t="inlineStr">
        <is>
          <t>分母為全體境外全日制求學者；不是全部S6畢業生。</t>
        </is>
      </c>
      <c r="N264" s="77" t="inlineStr">
        <is>
          <t>已從官方PDF逐表轉錄並經加總／視覺核對</t>
        </is>
      </c>
    </row>
    <row r="265" ht="30" customHeight="1">
      <c r="A265" s="78" t="inlineStr">
        <is>
          <t>EDB_S6_2024_T23_US_SHARE</t>
        </is>
      </c>
      <c r="B265" s="78" t="inlineStr">
        <is>
          <t>表2.3｜美國佔境外升學者比例</t>
        </is>
      </c>
      <c r="C265" s="78" t="inlineStr">
        <is>
          <t>2024</t>
        </is>
      </c>
      <c r="D265" s="78" t="inlineStr">
        <is>
          <t>中學後／中六畢業出口</t>
        </is>
      </c>
      <c r="E265" s="78" t="inlineStr">
        <is>
          <t>EDB指定本地普通中學日校之有回應中六畢業生；按指標另註</t>
        </is>
      </c>
      <c r="F265" s="78" t="inlineStr">
        <is>
          <t>67</t>
        </is>
      </c>
      <c r="G265" s="78" t="inlineStr">
        <is>
          <t>3061</t>
        </is>
      </c>
      <c r="H265" s="78" t="inlineStr">
        <is>
          <t>2.2</t>
        </is>
      </c>
      <c r="I265" s="78" t="inlineStr">
        <is>
          <t>%</t>
        </is>
      </c>
      <c r="J265" s="78" t="inlineStr">
        <is>
          <t>官方公布比例</t>
        </is>
      </c>
      <c r="K265" s="78" t="inlineStr">
        <is>
          <t>EDB-S6-2024</t>
        </is>
      </c>
      <c r="L265" s="78" t="inlineStr">
        <is>
          <t>PDF p.19（印刷頁14），Table 2.3</t>
        </is>
      </c>
      <c r="M265" s="78" t="inlineStr">
        <is>
          <t>分母為全體境外全日制求學者；不可解讀成全體畢業生比例。</t>
        </is>
      </c>
      <c r="N265" s="78" t="inlineStr">
        <is>
          <t>已從官方PDF逐表轉錄並經加總／視覺核對</t>
        </is>
      </c>
    </row>
    <row r="266" ht="30" customHeight="1">
      <c r="A266" s="77" t="inlineStr">
        <is>
          <t>EDB_S6_2024_T23_OTHERS_COUNT</t>
        </is>
      </c>
      <c r="B266" s="77" t="inlineStr">
        <is>
          <t>表2.3｜其他全日制升學人數</t>
        </is>
      </c>
      <c r="C266" s="77" t="inlineStr">
        <is>
          <t>2024</t>
        </is>
      </c>
      <c r="D266" s="77" t="inlineStr">
        <is>
          <t>中學後／中六畢業出口</t>
        </is>
      </c>
      <c r="E266" s="77" t="inlineStr">
        <is>
          <t>EDB指定本地普通中學日校之有回應中六畢業生；按指標另註</t>
        </is>
      </c>
      <c r="F266" s="77" t="inlineStr">
        <is>
          <t>212</t>
        </is>
      </c>
      <c r="G266" s="77" t="inlineStr">
        <is>
          <t>3061</t>
        </is>
      </c>
      <c r="H266" s="77" t="inlineStr">
        <is>
          <t>212</t>
        </is>
      </c>
      <c r="I266" s="77" t="inlineStr">
        <is>
          <t>人</t>
        </is>
      </c>
      <c r="J266" s="77" t="inlineStr">
        <is>
          <t>官方照錄</t>
        </is>
      </c>
      <c r="K266" s="77" t="inlineStr">
        <is>
          <t>EDB-S6-2024</t>
        </is>
      </c>
      <c r="L266" s="77" t="inlineStr">
        <is>
          <t>PDF p.19（印刷頁14），Table 2.3</t>
        </is>
      </c>
      <c r="M266" s="77" t="inlineStr">
        <is>
          <t>分母為全體境外全日制求學者；不是全部S6畢業生。</t>
        </is>
      </c>
      <c r="N266" s="77" t="inlineStr">
        <is>
          <t>已從官方PDF逐表轉錄並經加總／視覺核對</t>
        </is>
      </c>
    </row>
    <row r="267" ht="30" customHeight="1">
      <c r="A267" s="78" t="inlineStr">
        <is>
          <t>EDB_S6_2024_T23_OTHERS_SHARE</t>
        </is>
      </c>
      <c r="B267" s="78" t="inlineStr">
        <is>
          <t>表2.3｜其他佔境外升學者比例</t>
        </is>
      </c>
      <c r="C267" s="78" t="inlineStr">
        <is>
          <t>2024</t>
        </is>
      </c>
      <c r="D267" s="78" t="inlineStr">
        <is>
          <t>中學後／中六畢業出口</t>
        </is>
      </c>
      <c r="E267" s="78" t="inlineStr">
        <is>
          <t>EDB指定本地普通中學日校之有回應中六畢業生；按指標另註</t>
        </is>
      </c>
      <c r="F267" s="78" t="inlineStr">
        <is>
          <t>212</t>
        </is>
      </c>
      <c r="G267" s="78" t="inlineStr">
        <is>
          <t>3061</t>
        </is>
      </c>
      <c r="H267" s="78" t="inlineStr">
        <is>
          <t>6.9</t>
        </is>
      </c>
      <c r="I267" s="78" t="inlineStr">
        <is>
          <t>%</t>
        </is>
      </c>
      <c r="J267" s="78" t="inlineStr">
        <is>
          <t>官方公布比例</t>
        </is>
      </c>
      <c r="K267" s="78" t="inlineStr">
        <is>
          <t>EDB-S6-2024</t>
        </is>
      </c>
      <c r="L267" s="78" t="inlineStr">
        <is>
          <t>PDF p.19（印刷頁14），Table 2.3</t>
        </is>
      </c>
      <c r="M267" s="78" t="inlineStr">
        <is>
          <t>分母為全體境外全日制求學者；不可解讀成全體畢業生比例。</t>
        </is>
      </c>
      <c r="N267" s="78" t="inlineStr">
        <is>
          <t>已從官方PDF逐表轉錄並經加總／視覺核對</t>
        </is>
      </c>
    </row>
    <row r="268" ht="30" customHeight="1">
      <c r="A268" s="77" t="inlineStr">
        <is>
          <t>EDB_S6_2024_T23_OUTSIDE_TOTAL_COUNT</t>
        </is>
      </c>
      <c r="B268" s="77" t="inlineStr">
        <is>
          <t>表2.3｜境外全日制求學合計</t>
        </is>
      </c>
      <c r="C268" s="77" t="inlineStr">
        <is>
          <t>2024</t>
        </is>
      </c>
      <c r="D268" s="77" t="inlineStr">
        <is>
          <t>中學後／中六畢業出口</t>
        </is>
      </c>
      <c r="E268" s="77" t="inlineStr">
        <is>
          <t>EDB指定本地普通中學日校之有回應中六畢業生；按指標另註</t>
        </is>
      </c>
      <c r="F268" s="77" t="inlineStr">
        <is>
          <t>3061</t>
        </is>
      </c>
      <c r="G268" s="77" t="inlineStr"/>
      <c r="H268" s="77" t="inlineStr">
        <is>
          <t>3061</t>
        </is>
      </c>
      <c r="I268" s="77" t="inlineStr">
        <is>
          <t>人</t>
        </is>
      </c>
      <c r="J268" s="77" t="inlineStr">
        <is>
          <t>官方照錄</t>
        </is>
      </c>
      <c r="K268" s="77" t="inlineStr">
        <is>
          <t>EDB-S6-2024</t>
        </is>
      </c>
      <c r="L268" s="77" t="inlineStr">
        <is>
          <t>PDF p.19（印刷頁14），Table 2.3總數行</t>
        </is>
      </c>
      <c r="M268" s="77" t="inlineStr">
        <is>
          <t>與Chart 2.5核對。</t>
        </is>
      </c>
      <c r="N268" s="77" t="inlineStr">
        <is>
          <t>已從官方PDF逐表轉錄並經加總／視覺核對</t>
        </is>
      </c>
    </row>
    <row r="269" ht="30" customHeight="1">
      <c r="A269" s="78" t="inlineStr">
        <is>
          <t>JUPAS_2025_UNIQUE_MAIN_OFFERS_COUNT</t>
        </is>
      </c>
      <c r="B269" s="78" t="inlineStr">
        <is>
          <t>2025 JUPAS Main Round跨一般類別及SSSDP唯一獲offer申請人數（衍生）</t>
        </is>
      </c>
      <c r="C269" s="78" t="inlineStr">
        <is>
          <t>2025</t>
        </is>
      </c>
      <c r="D269" s="78" t="inlineStr">
        <is>
          <t>中學後／JUPAS Main Round</t>
        </is>
      </c>
      <c r="E269" s="78" t="inlineStr">
        <is>
          <t>同年JUPAS Main Round申請人；一般統計所列類別＋SSSDP類別，依每位成功申請人只獲一個Main Round offer去重</t>
        </is>
      </c>
      <c r="F269" s="78" t="inlineStr">
        <is>
          <t>20712</t>
        </is>
      </c>
      <c r="G269" s="78" t="inlineStr"/>
      <c r="H269" s="78" t="inlineStr">
        <is>
          <t>20712</t>
        </is>
      </c>
      <c r="I269" s="78" t="inlineStr">
        <is>
          <t>人</t>
        </is>
      </c>
      <c r="J269" s="78" t="inlineStr">
        <is>
          <t>本研究跨官方統計表加總；依一人一offer規則視作唯一申請人</t>
        </is>
      </c>
      <c r="K269" s="78" t="inlineStr">
        <is>
          <t>JUPAS-MR-UNION</t>
        </is>
      </c>
      <c r="L269" s="78" t="inlineStr">
        <is>
          <t>JUPAS-MR + JUPAS-SSSDP-MR + JUPAS-MR-ONE-OFFER；2025另見JUPAS 2025 Main Round press release pp.1–2</t>
        </is>
      </c>
      <c r="M269" s="78" t="inlineStr">
        <is>
          <t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t>
        </is>
      </c>
      <c r="N269" s="78" t="inlineStr">
        <is>
          <t>已核對組成數及互斥規則；15,808+4,904=20,712人</t>
        </is>
      </c>
    </row>
    <row r="270" ht="30" customHeight="1">
      <c r="A270" s="77" t="inlineStr">
        <is>
          <t>JUPAS_2025_UNIQUE_MAIN_OFFERS_RATE</t>
        </is>
      </c>
      <c r="B270" s="77" t="inlineStr">
        <is>
          <t>2025 JUPAS Main Round跨一般類別及SSSDP唯一獲offer比例（衍生）</t>
        </is>
      </c>
      <c r="C270" s="77" t="inlineStr">
        <is>
          <t>2025</t>
        </is>
      </c>
      <c r="D270" s="77" t="inlineStr">
        <is>
          <t>中學後／JUPAS Main Round</t>
        </is>
      </c>
      <c r="E270" s="77" t="inlineStr">
        <is>
          <t>同年JUPAS Main Round申請人；一般統計所列類別＋SSSDP類別，依每位成功申請人只獲一個Main Round offer去重</t>
        </is>
      </c>
      <c r="F270" s="77" t="inlineStr">
        <is>
          <t>20712</t>
        </is>
      </c>
      <c r="G270" s="77" t="inlineStr">
        <is>
          <t>43269</t>
        </is>
      </c>
      <c r="H270" s="77" t="inlineStr">
        <is>
          <t>47.87</t>
        </is>
      </c>
      <c r="I270" s="77" t="inlineStr">
        <is>
          <t>%</t>
        </is>
      </c>
      <c r="J270" s="77" t="inlineStr">
        <is>
          <t>本研究以唯一offer人數除同年Main Round申請人數</t>
        </is>
      </c>
      <c r="K270" s="77" t="inlineStr">
        <is>
          <t>JUPAS-MR-UNION</t>
        </is>
      </c>
      <c r="L270" s="77" t="inlineStr">
        <is>
          <t>JUPAS-MR applicants; JUPAS-MR + JUPAS-SSSDP-MR offer counts; JUPAS-MR-ONE-OFFER rule</t>
        </is>
      </c>
      <c r="M270" s="77" t="inlineStr">
        <is>
          <t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t>
        </is>
      </c>
      <c r="N270" s="77" t="inlineStr">
        <is>
          <t>已獨立複算：20,712/43,269=47.8680%，四捨五入至兩位小數為47.87%</t>
        </is>
      </c>
    </row>
    <row r="271" ht="30" customHeight="1">
      <c r="A271" s="78" t="inlineStr">
        <is>
          <t>JUPAS_2026_UNIQUE_MAIN_OFFERS_COUNT</t>
        </is>
      </c>
      <c r="B271" s="78" t="inlineStr">
        <is>
          <t>2026 JUPAS Main Round跨一般類別及SSSDP唯一獲offer申請人數（衍生）</t>
        </is>
      </c>
      <c r="C271" s="78" t="inlineStr">
        <is>
          <t>2026</t>
        </is>
      </c>
      <c r="D271" s="78" t="inlineStr">
        <is>
          <t>中學後／JUPAS Main Round</t>
        </is>
      </c>
      <c r="E271" s="78" t="inlineStr">
        <is>
          <t>同年JUPAS Main Round申請人；一般統計所列類別＋SSSDP類別，依每位成功申請人只獲一個Main Round offer去重</t>
        </is>
      </c>
      <c r="F271" s="78" t="inlineStr">
        <is>
          <t>20598</t>
        </is>
      </c>
      <c r="G271" s="78" t="inlineStr"/>
      <c r="H271" s="78" t="inlineStr">
        <is>
          <t>20598</t>
        </is>
      </c>
      <c r="I271" s="78" t="inlineStr">
        <is>
          <t>人</t>
        </is>
      </c>
      <c r="J271" s="78" t="inlineStr">
        <is>
          <t>本研究跨官方統計表加總；依一人一offer規則視作唯一申請人</t>
        </is>
      </c>
      <c r="K271" s="78" t="inlineStr">
        <is>
          <t>JUPAS-MR-UNION</t>
        </is>
      </c>
      <c r="L271" s="78" t="inlineStr">
        <is>
          <t>JUPAS-MR + JUPAS-SSSDP-MR + JUPAS-MR-ONE-OFFER；2025另見JUPAS 2025 Main Round press release pp.1–2</t>
        </is>
      </c>
      <c r="M271" s="78" t="inlineStr">
        <is>
          <t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t>
        </is>
      </c>
      <c r="N271" s="78" t="inlineStr">
        <is>
          <t>已核對組成數及互斥規則；15,619+4,979=20,598人</t>
        </is>
      </c>
    </row>
    <row r="272" ht="30" customHeight="1">
      <c r="A272" s="77" t="inlineStr">
        <is>
          <t>JUPAS_2026_UNIQUE_MAIN_OFFERS_RATE</t>
        </is>
      </c>
      <c r="B272" s="77" t="inlineStr">
        <is>
          <t>2026 JUPAS Main Round跨一般類別及SSSDP唯一獲offer比例（衍生）</t>
        </is>
      </c>
      <c r="C272" s="77" t="inlineStr">
        <is>
          <t>2026</t>
        </is>
      </c>
      <c r="D272" s="77" t="inlineStr">
        <is>
          <t>中學後／JUPAS Main Round</t>
        </is>
      </c>
      <c r="E272" s="77" t="inlineStr">
        <is>
          <t>同年JUPAS Main Round申請人；一般統計所列類別＋SSSDP類別，依每位成功申請人只獲一個Main Round offer去重</t>
        </is>
      </c>
      <c r="F272" s="77" t="inlineStr">
        <is>
          <t>20598</t>
        </is>
      </c>
      <c r="G272" s="77" t="inlineStr">
        <is>
          <t>45545</t>
        </is>
      </c>
      <c r="H272" s="77" t="inlineStr">
        <is>
          <t>45.23</t>
        </is>
      </c>
      <c r="I272" s="77" t="inlineStr">
        <is>
          <t>%</t>
        </is>
      </c>
      <c r="J272" s="77" t="inlineStr">
        <is>
          <t>本研究以唯一offer人數除同年Main Round申請人數</t>
        </is>
      </c>
      <c r="K272" s="77" t="inlineStr">
        <is>
          <t>JUPAS-MR-UNION</t>
        </is>
      </c>
      <c r="L272" s="77" t="inlineStr">
        <is>
          <t>JUPAS-MR applicants; JUPAS-MR + JUPAS-SSSDP-MR offer counts; JUPAS-MR-ONE-OFFER rule</t>
        </is>
      </c>
      <c r="M272" s="77" t="inlineStr">
        <is>
          <t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t>
        </is>
      </c>
      <c r="N272" s="77" t="inlineStr">
        <is>
          <t>已獨立複算：20,598/45,545=45.2256%，四捨五入至兩位小數為45.23%</t>
        </is>
      </c>
    </row>
    <row r="273" ht="30" customHeight="1">
      <c r="A273" s="78" t="inlineStr">
        <is>
          <t>UGC_FYFD_HKDSE_JUPAS_ADMITTED_COUNT_2021_22</t>
        </is>
      </c>
      <c r="B273" s="78" t="inlineStr">
        <is>
          <t>2021/22 以JUPAS途徑入讀人數</t>
        </is>
      </c>
      <c r="C273" s="78" t="inlineStr">
        <is>
          <t>2021/22</t>
        </is>
      </c>
      <c r="D273" s="78" t="inlineStr">
        <is>
          <t>大學入讀／UGC-funded FYFD</t>
        </is>
      </c>
      <c r="E273" s="78" t="inlineStr">
        <is>
          <t>以HKDSE成績入讀教資會資助第一年學士學位課程者；按入學途徑分組</t>
        </is>
      </c>
      <c r="F273" s="78" t="inlineStr">
        <is>
          <t>12225</t>
        </is>
      </c>
      <c r="G273" s="78" t="inlineStr"/>
      <c r="H273" s="78" t="inlineStr">
        <is>
          <t>12225</t>
        </is>
      </c>
      <c r="I273" s="78" t="inlineStr">
        <is>
          <t>人</t>
        </is>
      </c>
      <c r="J273" s="78" t="inlineStr">
        <is>
          <t>官方照錄</t>
        </is>
      </c>
      <c r="K273" s="78" t="inlineStr">
        <is>
          <t>EDU-LCQ-2024-UGC-FYFD</t>
        </is>
      </c>
      <c r="L273" s="78" t="inlineStr">
        <is>
          <t>立法會答覆LCQ12表格；EDU-LCQ-2024-UGC-FYFD</t>
        </is>
      </c>
      <c r="M273" s="78" t="inlineStr">
        <is>
          <t>只代表具HKDSE成績並已入讀UGC-funded FYFD的學生；不能作全部JUPAS申請人的錄取／接受率。</t>
        </is>
      </c>
      <c r="N273" s="78" t="inlineStr">
        <is>
          <t>政府公布數值；途徑屬性按答覆表列</t>
        </is>
      </c>
    </row>
    <row r="274" ht="30" customHeight="1">
      <c r="A274" s="77" t="inlineStr">
        <is>
          <t>UGC_FYFD_HKDSE_NON_JUPAS_ADMITTED_COUNT_2021_22</t>
        </is>
      </c>
      <c r="B274" s="77" t="inlineStr">
        <is>
          <t>2021/22 以non-JUPAS途徑入讀人數</t>
        </is>
      </c>
      <c r="C274" s="77" t="inlineStr">
        <is>
          <t>2021/22</t>
        </is>
      </c>
      <c r="D274" s="77" t="inlineStr">
        <is>
          <t>大學入讀／UGC-funded FYFD</t>
        </is>
      </c>
      <c r="E274" s="77" t="inlineStr">
        <is>
          <t>以HKDSE成績入讀教資會資助第一年學士學位課程者；按入學途徑分組</t>
        </is>
      </c>
      <c r="F274" s="77" t="inlineStr">
        <is>
          <t>81</t>
        </is>
      </c>
      <c r="G274" s="77" t="inlineStr"/>
      <c r="H274" s="77" t="inlineStr">
        <is>
          <t>81</t>
        </is>
      </c>
      <c r="I274" s="77" t="inlineStr">
        <is>
          <t>人</t>
        </is>
      </c>
      <c r="J274" s="77" t="inlineStr">
        <is>
          <t>官方照錄</t>
        </is>
      </c>
      <c r="K274" s="77" t="inlineStr">
        <is>
          <t>EDU-LCQ-2024-UGC-FYFD</t>
        </is>
      </c>
      <c r="L274" s="77" t="inlineStr">
        <is>
          <t>立法會答覆LCQ12表格；EDU-LCQ-2024-UGC-FYFD</t>
        </is>
      </c>
      <c r="M274" s="77" t="inlineStr">
        <is>
          <t>只代表具HKDSE成績並已入讀UGC-funded FYFD的學生；不能作全部JUPAS申請人的錄取／接受率。</t>
        </is>
      </c>
      <c r="N274" s="77" t="inlineStr">
        <is>
          <t>政府公布數值；途徑屬性按答覆表列</t>
        </is>
      </c>
    </row>
    <row r="275" ht="30" customHeight="1">
      <c r="A275" s="78" t="inlineStr">
        <is>
          <t>UGC_FYFD_HKDSE_TOTAL_HKDSE_ADMITTED_COUNT_2021_22</t>
        </is>
      </c>
      <c r="B275" s="78" t="inlineStr">
        <is>
          <t>2021/22 具HKDSE成績的UGC-funded FYFD入讀人數合計</t>
        </is>
      </c>
      <c r="C275" s="78" t="inlineStr">
        <is>
          <t>2021/22</t>
        </is>
      </c>
      <c r="D275" s="78" t="inlineStr">
        <is>
          <t>大學入讀／UGC-funded FYFD</t>
        </is>
      </c>
      <c r="E275" s="78" t="inlineStr">
        <is>
          <t>以HKDSE成績入讀教資會資助第一年學士學位課程者；按入學途徑分組</t>
        </is>
      </c>
      <c r="F275" s="78" t="inlineStr">
        <is>
          <t>12306</t>
        </is>
      </c>
      <c r="G275" s="78" t="inlineStr"/>
      <c r="H275" s="78" t="inlineStr">
        <is>
          <t>12306</t>
        </is>
      </c>
      <c r="I275" s="78" t="inlineStr">
        <is>
          <t>人</t>
        </is>
      </c>
      <c r="J275" s="78" t="inlineStr">
        <is>
          <t>官方組成項加總</t>
        </is>
      </c>
      <c r="K275" s="78" t="inlineStr">
        <is>
          <t>EDU-LCQ-2024-UGC-FYFD</t>
        </is>
      </c>
      <c r="L275" s="78" t="inlineStr">
        <is>
          <t>立法會答覆LCQ12表格；EDU-LCQ-2024-UGC-FYFD</t>
        </is>
      </c>
      <c r="M275" s="78" t="inlineStr">
        <is>
          <t>只代表具HKDSE成績並已入讀UGC-funded FYFD的學生；不能作全部JUPAS申請人的錄取／接受率。</t>
        </is>
      </c>
      <c r="N275" s="78" t="inlineStr">
        <is>
          <t>JUPAS+non-JUPAS；限該表所列有HKDSE成績者</t>
        </is>
      </c>
    </row>
    <row r="276" ht="30" customHeight="1">
      <c r="A276" s="77" t="inlineStr">
        <is>
          <t>UGC_FYFD_HKDSE_JUPAS_ROUTE_SHARE_2021_22</t>
        </is>
      </c>
      <c r="B276" s="77" t="inlineStr">
        <is>
          <t>2021/22 JUPAS佔該HKDSE入讀子群比例</t>
        </is>
      </c>
      <c r="C276" s="77" t="inlineStr">
        <is>
          <t>2021/22</t>
        </is>
      </c>
      <c r="D276" s="77" t="inlineStr">
        <is>
          <t>大學入讀／UGC-funded FYFD</t>
        </is>
      </c>
      <c r="E276" s="77" t="inlineStr">
        <is>
          <t>以HKDSE成績入讀教資會資助第一年學士學位課程者；按入學途徑分組</t>
        </is>
      </c>
      <c r="F276" s="77" t="inlineStr">
        <is>
          <t>12225</t>
        </is>
      </c>
      <c r="G276" s="77" t="inlineStr">
        <is>
          <t>12306</t>
        </is>
      </c>
      <c r="H276" s="77" t="inlineStr">
        <is>
          <t>99.34</t>
        </is>
      </c>
      <c r="I276" s="77" t="inlineStr">
        <is>
          <t>%</t>
        </is>
      </c>
      <c r="J276" s="77" t="inlineStr">
        <is>
          <t>本研究複算比例</t>
        </is>
      </c>
      <c r="K276" s="77" t="inlineStr">
        <is>
          <t>EDU-LCQ-2024-UGC-FYFD</t>
        </is>
      </c>
      <c r="L276" s="77" t="inlineStr">
        <is>
          <t>立法會答覆LCQ12表格；EDU-LCQ-2024-UGC-FYFD</t>
        </is>
      </c>
      <c r="M276" s="77" t="inlineStr">
        <is>
          <t>只代表具HKDSE成績並已入讀UGC-funded FYFD的學生；不能作全部JUPAS申請人的錄取／接受率。</t>
        </is>
      </c>
      <c r="N276" s="77" t="inlineStr">
        <is>
          <t>分母為該年度具HKDSE成績之UGC-funded FYFD入讀者，不是申請人</t>
        </is>
      </c>
    </row>
    <row r="277" ht="30" customHeight="1">
      <c r="A277" s="78" t="inlineStr">
        <is>
          <t>UGC_FYFD_HKDSE_JUPAS_ADMITTED_COUNT_2022_23</t>
        </is>
      </c>
      <c r="B277" s="78" t="inlineStr">
        <is>
          <t>2022/23 以JUPAS途徑入讀人數</t>
        </is>
      </c>
      <c r="C277" s="78" t="inlineStr">
        <is>
          <t>2022/23</t>
        </is>
      </c>
      <c r="D277" s="78" t="inlineStr">
        <is>
          <t>大學入讀／UGC-funded FYFD</t>
        </is>
      </c>
      <c r="E277" s="78" t="inlineStr">
        <is>
          <t>以HKDSE成績入讀教資會資助第一年學士學位課程者；按入學途徑分組</t>
        </is>
      </c>
      <c r="F277" s="78" t="inlineStr">
        <is>
          <t>12178</t>
        </is>
      </c>
      <c r="G277" s="78" t="inlineStr"/>
      <c r="H277" s="78" t="inlineStr">
        <is>
          <t>12178</t>
        </is>
      </c>
      <c r="I277" s="78" t="inlineStr">
        <is>
          <t>人</t>
        </is>
      </c>
      <c r="J277" s="78" t="inlineStr">
        <is>
          <t>官方照錄</t>
        </is>
      </c>
      <c r="K277" s="78" t="inlineStr">
        <is>
          <t>EDU-LCQ-2024-UGC-FYFD</t>
        </is>
      </c>
      <c r="L277" s="78" t="inlineStr">
        <is>
          <t>立法會答覆LCQ12表格；EDU-LCQ-2024-UGC-FYFD</t>
        </is>
      </c>
      <c r="M277" s="78" t="inlineStr">
        <is>
          <t>只代表具HKDSE成績並已入讀UGC-funded FYFD的學生；不能作全部JUPAS申請人的錄取／接受率。</t>
        </is>
      </c>
      <c r="N277" s="78" t="inlineStr">
        <is>
          <t>政府公布數值；途徑屬性按答覆表列</t>
        </is>
      </c>
    </row>
    <row r="278" ht="30" customHeight="1">
      <c r="A278" s="77" t="inlineStr">
        <is>
          <t>UGC_FYFD_HKDSE_NON_JUPAS_ADMITTED_COUNT_2022_23</t>
        </is>
      </c>
      <c r="B278" s="77" t="inlineStr">
        <is>
          <t>2022/23 以non-JUPAS途徑入讀人數</t>
        </is>
      </c>
      <c r="C278" s="77" t="inlineStr">
        <is>
          <t>2022/23</t>
        </is>
      </c>
      <c r="D278" s="77" t="inlineStr">
        <is>
          <t>大學入讀／UGC-funded FYFD</t>
        </is>
      </c>
      <c r="E278" s="77" t="inlineStr">
        <is>
          <t>以HKDSE成績入讀教資會資助第一年學士學位課程者；按入學途徑分組</t>
        </is>
      </c>
      <c r="F278" s="77" t="inlineStr">
        <is>
          <t>19</t>
        </is>
      </c>
      <c r="G278" s="77" t="inlineStr"/>
      <c r="H278" s="77" t="inlineStr">
        <is>
          <t>19</t>
        </is>
      </c>
      <c r="I278" s="77" t="inlineStr">
        <is>
          <t>人</t>
        </is>
      </c>
      <c r="J278" s="77" t="inlineStr">
        <is>
          <t>官方照錄</t>
        </is>
      </c>
      <c r="K278" s="77" t="inlineStr">
        <is>
          <t>EDU-LCQ-2024-UGC-FYFD</t>
        </is>
      </c>
      <c r="L278" s="77" t="inlineStr">
        <is>
          <t>立法會答覆LCQ12表格；EDU-LCQ-2024-UGC-FYFD</t>
        </is>
      </c>
      <c r="M278" s="77" t="inlineStr">
        <is>
          <t>只代表具HKDSE成績並已入讀UGC-funded FYFD的學生；不能作全部JUPAS申請人的錄取／接受率。</t>
        </is>
      </c>
      <c r="N278" s="77" t="inlineStr">
        <is>
          <t>政府公布數值；途徑屬性按答覆表列</t>
        </is>
      </c>
    </row>
    <row r="279" ht="30" customHeight="1">
      <c r="A279" s="78" t="inlineStr">
        <is>
          <t>UGC_FYFD_HKDSE_TOTAL_HKDSE_ADMITTED_COUNT_2022_23</t>
        </is>
      </c>
      <c r="B279" s="78" t="inlineStr">
        <is>
          <t>2022/23 具HKDSE成績的UGC-funded FYFD入讀人數合計</t>
        </is>
      </c>
      <c r="C279" s="78" t="inlineStr">
        <is>
          <t>2022/23</t>
        </is>
      </c>
      <c r="D279" s="78" t="inlineStr">
        <is>
          <t>大學入讀／UGC-funded FYFD</t>
        </is>
      </c>
      <c r="E279" s="78" t="inlineStr">
        <is>
          <t>以HKDSE成績入讀教資會資助第一年學士學位課程者；按入學途徑分組</t>
        </is>
      </c>
      <c r="F279" s="78" t="inlineStr">
        <is>
          <t>12197</t>
        </is>
      </c>
      <c r="G279" s="78" t="inlineStr"/>
      <c r="H279" s="78" t="inlineStr">
        <is>
          <t>12197</t>
        </is>
      </c>
      <c r="I279" s="78" t="inlineStr">
        <is>
          <t>人</t>
        </is>
      </c>
      <c r="J279" s="78" t="inlineStr">
        <is>
          <t>官方組成項加總</t>
        </is>
      </c>
      <c r="K279" s="78" t="inlineStr">
        <is>
          <t>EDU-LCQ-2024-UGC-FYFD</t>
        </is>
      </c>
      <c r="L279" s="78" t="inlineStr">
        <is>
          <t>立法會答覆LCQ12表格；EDU-LCQ-2024-UGC-FYFD</t>
        </is>
      </c>
      <c r="M279" s="78" t="inlineStr">
        <is>
          <t>只代表具HKDSE成績並已入讀UGC-funded FYFD的學生；不能作全部JUPAS申請人的錄取／接受率。</t>
        </is>
      </c>
      <c r="N279" s="78" t="inlineStr">
        <is>
          <t>JUPAS+non-JUPAS；限該表所列有HKDSE成績者</t>
        </is>
      </c>
    </row>
    <row r="280" ht="30" customHeight="1">
      <c r="A280" s="77" t="inlineStr">
        <is>
          <t>UGC_FYFD_HKDSE_JUPAS_ROUTE_SHARE_2022_23</t>
        </is>
      </c>
      <c r="B280" s="77" t="inlineStr">
        <is>
          <t>2022/23 JUPAS佔該HKDSE入讀子群比例</t>
        </is>
      </c>
      <c r="C280" s="77" t="inlineStr">
        <is>
          <t>2022/23</t>
        </is>
      </c>
      <c r="D280" s="77" t="inlineStr">
        <is>
          <t>大學入讀／UGC-funded FYFD</t>
        </is>
      </c>
      <c r="E280" s="77" t="inlineStr">
        <is>
          <t>以HKDSE成績入讀教資會資助第一年學士學位課程者；按入學途徑分組</t>
        </is>
      </c>
      <c r="F280" s="77" t="inlineStr">
        <is>
          <t>12178</t>
        </is>
      </c>
      <c r="G280" s="77" t="inlineStr">
        <is>
          <t>12197</t>
        </is>
      </c>
      <c r="H280" s="77" t="inlineStr">
        <is>
          <t>99.84</t>
        </is>
      </c>
      <c r="I280" s="77" t="inlineStr">
        <is>
          <t>%</t>
        </is>
      </c>
      <c r="J280" s="77" t="inlineStr">
        <is>
          <t>本研究複算比例</t>
        </is>
      </c>
      <c r="K280" s="77" t="inlineStr">
        <is>
          <t>EDU-LCQ-2024-UGC-FYFD</t>
        </is>
      </c>
      <c r="L280" s="77" t="inlineStr">
        <is>
          <t>立法會答覆LCQ12表格；EDU-LCQ-2024-UGC-FYFD</t>
        </is>
      </c>
      <c r="M280" s="77" t="inlineStr">
        <is>
          <t>只代表具HKDSE成績並已入讀UGC-funded FYFD的學生；不能作全部JUPAS申請人的錄取／接受率。</t>
        </is>
      </c>
      <c r="N280" s="77" t="inlineStr">
        <is>
          <t>分母為該年度具HKDSE成績之UGC-funded FYFD入讀者，不是申請人</t>
        </is>
      </c>
    </row>
    <row r="281" ht="30" customHeight="1">
      <c r="A281" s="78" t="inlineStr">
        <is>
          <t>UGC_FYFD_HKDSE_JUPAS_ADMITTED_COUNT_2023_24</t>
        </is>
      </c>
      <c r="B281" s="78" t="inlineStr">
        <is>
          <t>2023/24 以JUPAS途徑入讀人數</t>
        </is>
      </c>
      <c r="C281" s="78" t="inlineStr">
        <is>
          <t>2023/24</t>
        </is>
      </c>
      <c r="D281" s="78" t="inlineStr">
        <is>
          <t>大學入讀／UGC-funded FYFD</t>
        </is>
      </c>
      <c r="E281" s="78" t="inlineStr">
        <is>
          <t>以HKDSE成績入讀教資會資助第一年學士學位課程者；按入學途徑分組</t>
        </is>
      </c>
      <c r="F281" s="78" t="inlineStr">
        <is>
          <t>12590</t>
        </is>
      </c>
      <c r="G281" s="78" t="inlineStr"/>
      <c r="H281" s="78" t="inlineStr">
        <is>
          <t>12590</t>
        </is>
      </c>
      <c r="I281" s="78" t="inlineStr">
        <is>
          <t>人</t>
        </is>
      </c>
      <c r="J281" s="78" t="inlineStr">
        <is>
          <t>官方照錄</t>
        </is>
      </c>
      <c r="K281" s="78" t="inlineStr">
        <is>
          <t>EDU-LCQ-2024-UGC-FYFD</t>
        </is>
      </c>
      <c r="L281" s="78" t="inlineStr">
        <is>
          <t>立法會答覆LCQ12表格；EDU-LCQ-2024-UGC-FYFD</t>
        </is>
      </c>
      <c r="M281" s="78" t="inlineStr">
        <is>
          <t>只代表具HKDSE成績並已入讀UGC-funded FYFD的學生；不能作全部JUPAS申請人的錄取／接受率。</t>
        </is>
      </c>
      <c r="N281" s="78" t="inlineStr">
        <is>
          <t>政府公布數值；途徑屬性按答覆表列</t>
        </is>
      </c>
    </row>
    <row r="282" ht="30" customHeight="1">
      <c r="A282" s="77" t="inlineStr">
        <is>
          <t>UGC_FYFD_HKDSE_NON_JUPAS_ADMITTED_COUNT_2023_24</t>
        </is>
      </c>
      <c r="B282" s="77" t="inlineStr">
        <is>
          <t>2023/24 以non-JUPAS途徑入讀人數</t>
        </is>
      </c>
      <c r="C282" s="77" t="inlineStr">
        <is>
          <t>2023/24</t>
        </is>
      </c>
      <c r="D282" s="77" t="inlineStr">
        <is>
          <t>大學入讀／UGC-funded FYFD</t>
        </is>
      </c>
      <c r="E282" s="77" t="inlineStr">
        <is>
          <t>以HKDSE成績入讀教資會資助第一年學士學位課程者；按入學途徑分組</t>
        </is>
      </c>
      <c r="F282" s="77" t="inlineStr">
        <is>
          <t>21</t>
        </is>
      </c>
      <c r="G282" s="77" t="inlineStr"/>
      <c r="H282" s="77" t="inlineStr">
        <is>
          <t>21</t>
        </is>
      </c>
      <c r="I282" s="77" t="inlineStr">
        <is>
          <t>人</t>
        </is>
      </c>
      <c r="J282" s="77" t="inlineStr">
        <is>
          <t>官方照錄</t>
        </is>
      </c>
      <c r="K282" s="77" t="inlineStr">
        <is>
          <t>EDU-LCQ-2024-UGC-FYFD</t>
        </is>
      </c>
      <c r="L282" s="77" t="inlineStr">
        <is>
          <t>立法會答覆LCQ12表格；EDU-LCQ-2024-UGC-FYFD</t>
        </is>
      </c>
      <c r="M282" s="77" t="inlineStr">
        <is>
          <t>只代表具HKDSE成績並已入讀UGC-funded FYFD的學生；不能作全部JUPAS申請人的錄取／接受率。</t>
        </is>
      </c>
      <c r="N282" s="77" t="inlineStr">
        <is>
          <t>政府公布數值；途徑屬性按答覆表列</t>
        </is>
      </c>
    </row>
    <row r="283" ht="30" customHeight="1">
      <c r="A283" s="78" t="inlineStr">
        <is>
          <t>UGC_FYFD_HKDSE_TOTAL_HKDSE_ADMITTED_COUNT_2023_24</t>
        </is>
      </c>
      <c r="B283" s="78" t="inlineStr">
        <is>
          <t>2023/24 具HKDSE成績的UGC-funded FYFD入讀人數合計</t>
        </is>
      </c>
      <c r="C283" s="78" t="inlineStr">
        <is>
          <t>2023/24</t>
        </is>
      </c>
      <c r="D283" s="78" t="inlineStr">
        <is>
          <t>大學入讀／UGC-funded FYFD</t>
        </is>
      </c>
      <c r="E283" s="78" t="inlineStr">
        <is>
          <t>以HKDSE成績入讀教資會資助第一年學士學位課程者；按入學途徑分組</t>
        </is>
      </c>
      <c r="F283" s="78" t="inlineStr">
        <is>
          <t>12611</t>
        </is>
      </c>
      <c r="G283" s="78" t="inlineStr"/>
      <c r="H283" s="78" t="inlineStr">
        <is>
          <t>12611</t>
        </is>
      </c>
      <c r="I283" s="78" t="inlineStr">
        <is>
          <t>人</t>
        </is>
      </c>
      <c r="J283" s="78" t="inlineStr">
        <is>
          <t>官方組成項加總</t>
        </is>
      </c>
      <c r="K283" s="78" t="inlineStr">
        <is>
          <t>EDU-LCQ-2024-UGC-FYFD</t>
        </is>
      </c>
      <c r="L283" s="78" t="inlineStr">
        <is>
          <t>立法會答覆LCQ12表格；EDU-LCQ-2024-UGC-FYFD</t>
        </is>
      </c>
      <c r="M283" s="78" t="inlineStr">
        <is>
          <t>只代表具HKDSE成績並已入讀UGC-funded FYFD的學生；不能作全部JUPAS申請人的錄取／接受率。</t>
        </is>
      </c>
      <c r="N283" s="78" t="inlineStr">
        <is>
          <t>JUPAS+non-JUPAS；限該表所列有HKDSE成績者</t>
        </is>
      </c>
    </row>
    <row r="284" ht="30" customHeight="1">
      <c r="A284" s="77" t="inlineStr">
        <is>
          <t>UGC_FYFD_HKDSE_JUPAS_ROUTE_SHARE_2023_24</t>
        </is>
      </c>
      <c r="B284" s="77" t="inlineStr">
        <is>
          <t>2023/24 JUPAS佔該HKDSE入讀子群比例</t>
        </is>
      </c>
      <c r="C284" s="77" t="inlineStr">
        <is>
          <t>2023/24</t>
        </is>
      </c>
      <c r="D284" s="77" t="inlineStr">
        <is>
          <t>大學入讀／UGC-funded FYFD</t>
        </is>
      </c>
      <c r="E284" s="77" t="inlineStr">
        <is>
          <t>以HKDSE成績入讀教資會資助第一年學士學位課程者；按入學途徑分組</t>
        </is>
      </c>
      <c r="F284" s="77" t="inlineStr">
        <is>
          <t>12590</t>
        </is>
      </c>
      <c r="G284" s="77" t="inlineStr">
        <is>
          <t>12611</t>
        </is>
      </c>
      <c r="H284" s="77" t="inlineStr">
        <is>
          <t>99.83</t>
        </is>
      </c>
      <c r="I284" s="77" t="inlineStr">
        <is>
          <t>%</t>
        </is>
      </c>
      <c r="J284" s="77" t="inlineStr">
        <is>
          <t>本研究複算比例</t>
        </is>
      </c>
      <c r="K284" s="77" t="inlineStr">
        <is>
          <t>EDU-LCQ-2024-UGC-FYFD</t>
        </is>
      </c>
      <c r="L284" s="77" t="inlineStr">
        <is>
          <t>立法會答覆LCQ12表格；EDU-LCQ-2024-UGC-FYFD</t>
        </is>
      </c>
      <c r="M284" s="77" t="inlineStr">
        <is>
          <t>只代表具HKDSE成績並已入讀UGC-funded FYFD的學生；不能作全部JUPAS申請人的錄取／接受率。</t>
        </is>
      </c>
      <c r="N284" s="77" t="inlineStr">
        <is>
          <t>分母為該年度具HKDSE成績之UGC-funded FYFD入讀者，不是申請人</t>
        </is>
      </c>
    </row>
    <row r="285" ht="30" customHeight="1">
      <c r="A285" s="78" t="inlineStr">
        <is>
          <t>UGC_FYFD_JUPAS_DEPENDANT_VISA_ADMITTED_2022_23</t>
        </is>
      </c>
      <c r="B285" s="78" t="inlineStr">
        <is>
          <t>2022/23受養人簽證持有人經JUPAS入讀UGC-funded FYFD人數</t>
        </is>
      </c>
      <c r="C285" s="78" t="inlineStr">
        <is>
          <t>2022/23</t>
        </is>
      </c>
      <c r="D285" s="78" t="inlineStr">
        <is>
          <t>大學入讀／UGC-funded FYFD</t>
        </is>
      </c>
      <c r="E285" s="78" t="inlineStr">
        <is>
          <t>受養人簽證／進入許可持有人；依政府答覆定義</t>
        </is>
      </c>
      <c r="F285" s="78" t="inlineStr">
        <is>
          <t>62</t>
        </is>
      </c>
      <c r="G285" s="78" t="inlineStr"/>
      <c r="H285" s="78" t="inlineStr">
        <is>
          <t>62</t>
        </is>
      </c>
      <c r="I285" s="78" t="inlineStr">
        <is>
          <t>人</t>
        </is>
      </c>
      <c r="J285" s="78" t="inlineStr">
        <is>
          <t>政府照錄</t>
        </is>
      </c>
      <c r="K285" s="78" t="inlineStr">
        <is>
          <t>EDU-LCQ-2025-DEPENDANT</t>
        </is>
      </c>
      <c r="L285" s="78" t="inlineStr">
        <is>
          <t>立法會答覆LCQ5；JUPAS Office提供</t>
        </is>
      </c>
      <c r="M285" s="78" t="inlineStr">
        <is>
          <t>只是一個簽證身分子群；沒有全體入讀分母，不可代表2024/25所有JUPAS錄取人數。</t>
        </is>
      </c>
      <c r="N285" s="78" t="inlineStr">
        <is>
          <t>官方公布子群人數；分母未提供</t>
        </is>
      </c>
    </row>
    <row r="286" ht="30" customHeight="1">
      <c r="A286" s="77" t="inlineStr">
        <is>
          <t>UGC_FYFD_JUPAS_DEPENDANT_VISA_ADMITTED_2023_24</t>
        </is>
      </c>
      <c r="B286" s="77" t="inlineStr">
        <is>
          <t>2023/24受養人簽證持有人經JUPAS入讀UGC-funded FYFD人數</t>
        </is>
      </c>
      <c r="C286" s="77" t="inlineStr">
        <is>
          <t>2023/24</t>
        </is>
      </c>
      <c r="D286" s="77" t="inlineStr">
        <is>
          <t>大學入讀／UGC-funded FYFD</t>
        </is>
      </c>
      <c r="E286" s="77" t="inlineStr">
        <is>
          <t>受養人簽證／進入許可持有人；依政府答覆定義</t>
        </is>
      </c>
      <c r="F286" s="77" t="inlineStr">
        <is>
          <t>68</t>
        </is>
      </c>
      <c r="G286" s="77" t="inlineStr"/>
      <c r="H286" s="77" t="inlineStr">
        <is>
          <t>68</t>
        </is>
      </c>
      <c r="I286" s="77" t="inlineStr">
        <is>
          <t>人</t>
        </is>
      </c>
      <c r="J286" s="77" t="inlineStr">
        <is>
          <t>政府照錄</t>
        </is>
      </c>
      <c r="K286" s="77" t="inlineStr">
        <is>
          <t>EDU-LCQ-2025-DEPENDANT</t>
        </is>
      </c>
      <c r="L286" s="77" t="inlineStr">
        <is>
          <t>立法會答覆LCQ5；JUPAS Office提供</t>
        </is>
      </c>
      <c r="M286" s="77" t="inlineStr">
        <is>
          <t>只是一個簽證身分子群；沒有全體入讀分母，不可代表2024/25所有JUPAS錄取人數。</t>
        </is>
      </c>
      <c r="N286" s="77" t="inlineStr">
        <is>
          <t>官方公布子群人數；分母未提供</t>
        </is>
      </c>
    </row>
    <row r="287" ht="30" customHeight="1">
      <c r="A287" s="78" t="inlineStr">
        <is>
          <t>UGC_FYFD_JUPAS_DEPENDANT_VISA_ADMITTED_2024_25</t>
        </is>
      </c>
      <c r="B287" s="78" t="inlineStr">
        <is>
          <t>2024/25受養人簽證持有人經JUPAS入讀UGC-funded FYFD人數</t>
        </is>
      </c>
      <c r="C287" s="78" t="inlineStr">
        <is>
          <t>2024/25</t>
        </is>
      </c>
      <c r="D287" s="78" t="inlineStr">
        <is>
          <t>大學入讀／UGC-funded FYFD</t>
        </is>
      </c>
      <c r="E287" s="78" t="inlineStr">
        <is>
          <t>受養人簽證／進入許可持有人；依政府答覆定義</t>
        </is>
      </c>
      <c r="F287" s="78" t="inlineStr">
        <is>
          <t>185</t>
        </is>
      </c>
      <c r="G287" s="78" t="inlineStr"/>
      <c r="H287" s="78" t="inlineStr">
        <is>
          <t>185</t>
        </is>
      </c>
      <c r="I287" s="78" t="inlineStr">
        <is>
          <t>人</t>
        </is>
      </c>
      <c r="J287" s="78" t="inlineStr">
        <is>
          <t>政府照錄</t>
        </is>
      </c>
      <c r="K287" s="78" t="inlineStr">
        <is>
          <t>EDU-LCQ-2025-DEPENDANT</t>
        </is>
      </c>
      <c r="L287" s="78" t="inlineStr">
        <is>
          <t>立法會答覆LCQ5；JUPAS Office提供</t>
        </is>
      </c>
      <c r="M287" s="78" t="inlineStr">
        <is>
          <t>只是一個簽證身分子群；沒有全體入讀分母，不可代表2024/25所有JUPAS錄取人數。</t>
        </is>
      </c>
      <c r="N287" s="78" t="inlineStr">
        <is>
          <t>官方公布子群人數；分母未提供</t>
        </is>
      </c>
    </row>
    <row r="288" ht="30" customHeight="1">
      <c r="A288" s="77" t="inlineStr">
        <is>
          <t>JUPAS_2026_RR_REQUESTS</t>
        </is>
      </c>
      <c r="B288" s="77" t="inlineStr">
        <is>
          <t>提出重審申請人數</t>
        </is>
      </c>
      <c r="C288" s="77" t="inlineStr">
        <is>
          <t>2026</t>
        </is>
      </c>
      <c r="D288" s="77" t="inlineStr">
        <is>
          <t>JUPAS覆核／RR後offer結果</t>
        </is>
      </c>
      <c r="E288" s="77" t="inlineStr">
        <is>
          <t>2026年因HKDSE rechecking/remarking成績上調而提交重審申請的453人</t>
        </is>
      </c>
      <c r="F288" s="77" t="inlineStr"/>
      <c r="G288" s="77" t="inlineStr">
        <is>
          <t>453</t>
        </is>
      </c>
      <c r="H288" s="77" t="inlineStr">
        <is>
          <t>453</t>
        </is>
      </c>
      <c r="I288" s="77" t="inlineStr">
        <is>
          <t>人</t>
        </is>
      </c>
      <c r="J288" s="77" t="inlineStr">
        <is>
          <t>官方照錄（JUPAS公開統計）</t>
        </is>
      </c>
      <c r="K288" s="77" t="inlineStr">
        <is>
          <t>JUPAS-2026-RR</t>
        </is>
      </c>
      <c r="L288" s="77" t="inlineStr">
        <is>
          <t>Offer Results after Reconsideration表格總計列</t>
        </is>
      </c>
      <c r="M288" s="77" t="inlineStr">
        <is>
          <t>offer變動／狀態分類，並非接受offer、完成繳費、註冊或實際入讀。</t>
        </is>
      </c>
      <c r="N288" s="77" t="inlineStr">
        <is>
          <t>官方照錄</t>
        </is>
      </c>
    </row>
    <row r="289" ht="30" customHeight="1">
      <c r="A289" s="78" t="inlineStr">
        <is>
          <t>JUPAS_2026_RR_UGC_HKMU_BETTER_OR_OFFER</t>
        </is>
      </c>
      <c r="B289" s="78" t="inlineStr">
        <is>
          <t>重審結果列為UGC/HKMU Degree較佳offer或獲offer人數</t>
        </is>
      </c>
      <c r="C289" s="78" t="inlineStr">
        <is>
          <t>2026</t>
        </is>
      </c>
      <c r="D289" s="78" t="inlineStr">
        <is>
          <t>JUPAS覆核／RR後offer結果</t>
        </is>
      </c>
      <c r="E289" s="78" t="inlineStr">
        <is>
          <t>2026年因HKDSE rechecking/remarking成績上調而提交重審申請的453人</t>
        </is>
      </c>
      <c r="F289" s="78" t="inlineStr">
        <is>
          <t>244</t>
        </is>
      </c>
      <c r="G289" s="78" t="inlineStr">
        <is>
          <t>453</t>
        </is>
      </c>
      <c r="H289" s="78" t="inlineStr">
        <is>
          <t>244</t>
        </is>
      </c>
      <c r="I289" s="78" t="inlineStr">
        <is>
          <t>人</t>
        </is>
      </c>
      <c r="J289" s="78" t="inlineStr">
        <is>
          <t>官方照錄（JUPAS公開統計）</t>
        </is>
      </c>
      <c r="K289" s="78" t="inlineStr">
        <is>
          <t>JUPAS-2026-RR</t>
        </is>
      </c>
      <c r="L289" s="78" t="inlineStr">
        <is>
          <t>Offer Results after Reconsideration表格總計列</t>
        </is>
      </c>
      <c r="M289" s="78" t="inlineStr">
        <is>
          <t>offer變動／狀態分類，並非接受offer、完成繳費、註冊或實際入讀。</t>
        </is>
      </c>
      <c r="N289" s="78" t="inlineStr">
        <is>
          <t>官方照錄；限453名重審申請者</t>
        </is>
      </c>
    </row>
    <row r="290" ht="30" customHeight="1">
      <c r="A290" s="77" t="inlineStr">
        <is>
          <t>JUPAS_2026_RR_SSSDP_BETTER_OR_OFFER</t>
        </is>
      </c>
      <c r="B290" s="77" t="inlineStr">
        <is>
          <t>重審結果列為SSSDP Degree較佳offer或獲offer人數</t>
        </is>
      </c>
      <c r="C290" s="77" t="inlineStr">
        <is>
          <t>2026</t>
        </is>
      </c>
      <c r="D290" s="77" t="inlineStr">
        <is>
          <t>JUPAS覆核／RR後offer結果</t>
        </is>
      </c>
      <c r="E290" s="77" t="inlineStr">
        <is>
          <t>2026年因HKDSE rechecking/remarking成績上調而提交重審申請的453人</t>
        </is>
      </c>
      <c r="F290" s="77" t="inlineStr">
        <is>
          <t>43</t>
        </is>
      </c>
      <c r="G290" s="77" t="inlineStr">
        <is>
          <t>453</t>
        </is>
      </c>
      <c r="H290" s="77" t="inlineStr">
        <is>
          <t>43</t>
        </is>
      </c>
      <c r="I290" s="77" t="inlineStr">
        <is>
          <t>人</t>
        </is>
      </c>
      <c r="J290" s="77" t="inlineStr">
        <is>
          <t>官方照錄（JUPAS公開統計）</t>
        </is>
      </c>
      <c r="K290" s="77" t="inlineStr">
        <is>
          <t>JUPAS-2026-RR</t>
        </is>
      </c>
      <c r="L290" s="77" t="inlineStr">
        <is>
          <t>Offer Results after Reconsideration表格總計列</t>
        </is>
      </c>
      <c r="M290" s="77" t="inlineStr">
        <is>
          <t>offer變動／狀態分類，並非接受offer、完成繳費、註冊或實際入讀。</t>
        </is>
      </c>
      <c r="N290" s="77" t="inlineStr">
        <is>
          <t>官方照錄；限453名重審申請者</t>
        </is>
      </c>
    </row>
    <row r="291" ht="30" customHeight="1">
      <c r="A291" s="78" t="inlineStr">
        <is>
          <t>JUPAS_2026_RR_MAIN_ROUND_STATUS_UNCHANGED</t>
        </is>
      </c>
      <c r="B291" s="78" t="inlineStr">
        <is>
          <t>Main Round offer狀態不變人數</t>
        </is>
      </c>
      <c r="C291" s="78" t="inlineStr">
        <is>
          <t>2026</t>
        </is>
      </c>
      <c r="D291" s="78" t="inlineStr">
        <is>
          <t>JUPAS覆核／RR後offer結果</t>
        </is>
      </c>
      <c r="E291" s="78" t="inlineStr">
        <is>
          <t>2026年因HKDSE rechecking/remarking成績上調而提交重審申請的453人</t>
        </is>
      </c>
      <c r="F291" s="78" t="inlineStr">
        <is>
          <t>166</t>
        </is>
      </c>
      <c r="G291" s="78" t="inlineStr">
        <is>
          <t>453</t>
        </is>
      </c>
      <c r="H291" s="78" t="inlineStr">
        <is>
          <t>166</t>
        </is>
      </c>
      <c r="I291" s="78" t="inlineStr">
        <is>
          <t>人</t>
        </is>
      </c>
      <c r="J291" s="78" t="inlineStr">
        <is>
          <t>官方照錄（JUPAS公開統計）</t>
        </is>
      </c>
      <c r="K291" s="78" t="inlineStr">
        <is>
          <t>JUPAS-2026-RR</t>
        </is>
      </c>
      <c r="L291" s="78" t="inlineStr">
        <is>
          <t>Offer Results after Reconsideration表格總計列</t>
        </is>
      </c>
      <c r="M291" s="78" t="inlineStr">
        <is>
          <t>offer變動／狀態分類，並非接受offer、完成繳費、註冊或實際入讀。</t>
        </is>
      </c>
      <c r="N291" s="78" t="inlineStr">
        <is>
          <t>官方照錄；限453名重審申請者</t>
        </is>
      </c>
    </row>
    <row r="292" ht="30" customHeight="1">
      <c r="A292" s="77" t="inlineStr">
        <is>
          <t>SNDAS_FIFTH_VALID_NOMINATIONS_2026</t>
        </is>
      </c>
      <c r="B292" s="77" t="inlineStr">
        <is>
          <t>2026年第五屆SNDAS有效提名數</t>
        </is>
      </c>
      <c r="C292" s="77" t="inlineStr">
        <is>
          <t>2026</t>
        </is>
      </c>
      <c r="D292" s="77" t="inlineStr">
        <is>
          <t>大學入學／SNDAS</t>
        </is>
      </c>
      <c r="E292" s="77" t="inlineStr">
        <is>
          <t>2026年應考HKDSE並由433所中學提交的有效SNDAS提名</t>
        </is>
      </c>
      <c r="F292" s="77" t="inlineStr"/>
      <c r="G292" s="77" t="inlineStr">
        <is>
          <t>847</t>
        </is>
      </c>
      <c r="H292" s="77" t="inlineStr">
        <is>
          <t>847</t>
        </is>
      </c>
      <c r="I292" s="77" t="inlineStr">
        <is>
          <t>人／有效提名</t>
        </is>
      </c>
      <c r="J292" s="77" t="inlineStr">
        <is>
          <t>官方照錄</t>
        </is>
      </c>
      <c r="K292" s="77" t="inlineStr">
        <is>
          <t>SNDAS-2026-COHORT5</t>
        </is>
      </c>
      <c r="L292" s="77" t="inlineStr">
        <is>
          <t>EDB公告段落1</t>
        </is>
      </c>
      <c r="M292" s="77" t="inlineStr">
        <is>
          <t>已由學校提名的計劃子群；不是全部DSE考生或個人錄取機率。</t>
        </is>
      </c>
      <c r="N292" s="77" t="inlineStr">
        <is>
          <t>官方公布</t>
        </is>
      </c>
    </row>
    <row r="293" ht="30" customHeight="1">
      <c r="A293" s="78" t="inlineStr">
        <is>
          <t>SNDAS_FIFTH_NOMINATING_SCHOOLS_2026</t>
        </is>
      </c>
      <c r="B293" s="78" t="inlineStr">
        <is>
          <t>2026年第五屆SNDAS有效提名學校數</t>
        </is>
      </c>
      <c r="C293" s="78" t="inlineStr">
        <is>
          <t>2026</t>
        </is>
      </c>
      <c r="D293" s="78" t="inlineStr">
        <is>
          <t>大學入學／SNDAS</t>
        </is>
      </c>
      <c r="E293" s="78" t="inlineStr">
        <is>
          <t>提交有效提名的中學</t>
        </is>
      </c>
      <c r="F293" s="78" t="inlineStr"/>
      <c r="G293" s="78" t="inlineStr">
        <is>
          <t>433</t>
        </is>
      </c>
      <c r="H293" s="78" t="inlineStr">
        <is>
          <t>433</t>
        </is>
      </c>
      <c r="I293" s="78" t="inlineStr">
        <is>
          <t>所</t>
        </is>
      </c>
      <c r="J293" s="78" t="inlineStr">
        <is>
          <t>官方照錄</t>
        </is>
      </c>
      <c r="K293" s="78" t="inlineStr">
        <is>
          <t>SNDAS-2026-COHORT5</t>
        </is>
      </c>
      <c r="L293" s="78" t="inlineStr">
        <is>
          <t>EDB公告段落1</t>
        </is>
      </c>
      <c r="M293" s="78" t="inlineStr">
        <is>
          <t>不是全港中學總數。</t>
        </is>
      </c>
      <c r="N293" s="78" t="inlineStr">
        <is>
          <t>官方公布</t>
        </is>
      </c>
    </row>
    <row r="294" ht="30" customHeight="1">
      <c r="A294" s="77" t="inlineStr">
        <is>
          <t>SNDAS_FIFTH_DIRECT_OFFERS_2026</t>
        </is>
      </c>
      <c r="B294" s="77" t="inlineStr">
        <is>
          <t>2026年第五屆SNDAS直接錄取offer數</t>
        </is>
      </c>
      <c r="C294" s="77" t="inlineStr">
        <is>
          <t>2026</t>
        </is>
      </c>
      <c r="D294" s="77" t="inlineStr">
        <is>
          <t>大學入學／SNDAS</t>
        </is>
      </c>
      <c r="E294" s="77" t="inlineStr">
        <is>
          <t>經SNDAS獲八所UGC資助大學於DSE放榜前發出firm offer的提名學生</t>
        </is>
      </c>
      <c r="F294" s="77" t="inlineStr"/>
      <c r="G294" s="77" t="inlineStr">
        <is>
          <t>325</t>
        </is>
      </c>
      <c r="H294" s="77" t="inlineStr">
        <is>
          <t>325</t>
        </is>
      </c>
      <c r="I294" s="77" t="inlineStr">
        <is>
          <t>人／offer</t>
        </is>
      </c>
      <c r="J294" s="77" t="inlineStr">
        <is>
          <t>官方照錄</t>
        </is>
      </c>
      <c r="K294" s="77" t="inlineStr">
        <is>
          <t>SNDAS-2026-COHORT5</t>
        </is>
      </c>
      <c r="L294" s="77" t="inlineStr">
        <is>
          <t>EDB公告段落2</t>
        </is>
      </c>
      <c r="M294" s="77" t="inlineStr">
        <is>
          <t>不是JUPAS Main Round offer，也不是註冊人數。</t>
        </is>
      </c>
      <c r="N294" s="77" t="inlineStr">
        <is>
          <t>官方公布</t>
        </is>
      </c>
    </row>
    <row r="295" ht="30" customHeight="1">
      <c r="A295" s="78" t="inlineStr">
        <is>
          <t>SNDAS_FIFTH_ACCEPTED_OFFERS_2026</t>
        </is>
      </c>
      <c r="B295" s="78" t="inlineStr">
        <is>
          <t>2026年第五屆SNDAS接受firm offer人數</t>
        </is>
      </c>
      <c r="C295" s="78" t="inlineStr">
        <is>
          <t>2026</t>
        </is>
      </c>
      <c r="D295" s="78" t="inlineStr">
        <is>
          <t>大學入學／SNDAS</t>
        </is>
      </c>
      <c r="E295" s="78" t="inlineStr">
        <is>
          <t>接受SNDAS直接錄取offer的學生</t>
        </is>
      </c>
      <c r="F295" s="78" t="inlineStr"/>
      <c r="G295" s="78" t="inlineStr">
        <is>
          <t>319</t>
        </is>
      </c>
      <c r="H295" s="78" t="inlineStr">
        <is>
          <t>319</t>
        </is>
      </c>
      <c r="I295" s="78" t="inlineStr">
        <is>
          <t>人</t>
        </is>
      </c>
      <c r="J295" s="78" t="inlineStr">
        <is>
          <t>官方照錄</t>
        </is>
      </c>
      <c r="K295" s="78" t="inlineStr">
        <is>
          <t>SNDAS-2026-COHORT5</t>
        </is>
      </c>
      <c r="L295" s="78" t="inlineStr">
        <is>
          <t>EDB公告段落2</t>
        </is>
      </c>
      <c r="M295" s="78" t="inlineStr">
        <is>
          <t>官方公告稱將於2026年9月入讀；接受offer不等於已核實註冊／實際入讀。</t>
        </is>
      </c>
      <c r="N295" s="78" t="inlineStr">
        <is>
          <t>官方公布接受數；入讀未核實</t>
        </is>
      </c>
    </row>
    <row r="296" ht="30" customHeight="1">
      <c r="A296" s="77" t="inlineStr">
        <is>
          <t>SNDAS_FIFTH_NOMINATION_TO_OFFER_RATE_2026</t>
        </is>
      </c>
      <c r="B296" s="77" t="inlineStr">
        <is>
          <t>SNDAS有效提名至直接offer比例</t>
        </is>
      </c>
      <c r="C296" s="77" t="inlineStr">
        <is>
          <t>2026</t>
        </is>
      </c>
      <c r="D296" s="77" t="inlineStr">
        <is>
          <t>大學入學／SNDAS</t>
        </is>
      </c>
      <c r="E296" s="77" t="inlineStr">
        <is>
          <t>第五屆有效提名者；325份offer÷847份有效提名</t>
        </is>
      </c>
      <c r="F296" s="77" t="inlineStr">
        <is>
          <t>325</t>
        </is>
      </c>
      <c r="G296" s="77" t="inlineStr">
        <is>
          <t>847</t>
        </is>
      </c>
      <c r="H296" s="77" t="inlineStr">
        <is>
          <t>38.37</t>
        </is>
      </c>
      <c r="I296" s="77" t="inlineStr">
        <is>
          <t>%</t>
        </is>
      </c>
      <c r="J296" s="77" t="inlineStr">
        <is>
          <t>本研究複算</t>
        </is>
      </c>
      <c r="K296" s="77" t="inlineStr">
        <is>
          <t>SNDAS-2026-COHORT5</t>
        </is>
      </c>
      <c r="L296" s="77" t="inlineStr">
        <is>
          <t>EDB公告段落1-2；複算325/847</t>
        </is>
      </c>
      <c r="M296" s="77" t="inlineStr">
        <is>
          <t>中學先行提名且大學面試的選拔子群；不可作個人錄取率，也不可與JUPAS比率直接比較。</t>
        </is>
      </c>
      <c r="N296" s="77" t="inlineStr">
        <is>
          <t>同屆聚合數複算</t>
        </is>
      </c>
    </row>
    <row r="297" ht="30" customHeight="1">
      <c r="A297" s="78" t="inlineStr">
        <is>
          <t>SNDAS_FIFTH_OFFER_ACCEPTANCE_RATE_2026</t>
        </is>
      </c>
      <c r="B297" s="78" t="inlineStr">
        <is>
          <t>SNDAS直接offer接受比例</t>
        </is>
      </c>
      <c r="C297" s="78" t="inlineStr">
        <is>
          <t>2026</t>
        </is>
      </c>
      <c r="D297" s="78" t="inlineStr">
        <is>
          <t>大學入學／SNDAS</t>
        </is>
      </c>
      <c r="E297" s="78" t="inlineStr">
        <is>
          <t>第五屆獲offer者；319名接受÷325份offer</t>
        </is>
      </c>
      <c r="F297" s="78" t="inlineStr">
        <is>
          <t>319</t>
        </is>
      </c>
      <c r="G297" s="78" t="inlineStr">
        <is>
          <t>325</t>
        </is>
      </c>
      <c r="H297" s="78" t="inlineStr">
        <is>
          <t>98.15</t>
        </is>
      </c>
      <c r="I297" s="78" t="inlineStr">
        <is>
          <t>%</t>
        </is>
      </c>
      <c r="J297" s="78" t="inlineStr">
        <is>
          <t>本研究複算</t>
        </is>
      </c>
      <c r="K297" s="78" t="inlineStr">
        <is>
          <t>SNDAS-2026-COHORT5</t>
        </is>
      </c>
      <c r="L297" s="78" t="inlineStr">
        <is>
          <t>EDB公告段落2；複算319/325</t>
        </is>
      </c>
      <c r="M297" s="78" t="inlineStr">
        <is>
          <t>接受offer比例不是JUPAS繳費接受率，也不是院校註冊或實際入讀率。</t>
        </is>
      </c>
      <c r="N297" s="78" t="inlineStr">
        <is>
          <t>同屆聚合數複算</t>
        </is>
      </c>
    </row>
    <row r="298" ht="30" customHeight="1">
      <c r="A298" s="77" t="inlineStr">
        <is>
          <t>SNDAS_DESIGNATED_PROGRAMMES_2027_28</t>
        </is>
      </c>
      <c r="B298" s="77" t="inlineStr">
        <is>
          <t>2027/28 SNDAS指定參與課程數</t>
        </is>
      </c>
      <c r="C298" s="77" t="inlineStr">
        <is>
          <t>2027/28</t>
        </is>
      </c>
      <c r="D298" s="77" t="inlineStr">
        <is>
          <t>大學入學／SNDAS供給</t>
        </is>
      </c>
      <c r="E298" s="77" t="inlineStr">
        <is>
          <t>八所UGC資助大學公布之公帑資助本科指定課程</t>
        </is>
      </c>
      <c r="F298" s="77" t="inlineStr"/>
      <c r="G298" s="77" t="inlineStr">
        <is>
          <t>316</t>
        </is>
      </c>
      <c r="H298" s="77" t="inlineStr">
        <is>
          <t>316</t>
        </is>
      </c>
      <c r="I298" s="77" t="inlineStr">
        <is>
          <t>個課程</t>
        </is>
      </c>
      <c r="J298" s="77" t="inlineStr">
        <is>
          <t>官方照錄</t>
        </is>
      </c>
      <c r="K298" s="77" t="inlineStr">
        <is>
          <t>SNDAS-2027-28-PROGRAMMES</t>
        </is>
      </c>
      <c r="L298" s="77" t="inlineStr">
        <is>
          <t>EDB指定課程清單（2026-10-08更新）</t>
        </is>
      </c>
      <c r="M298" s="77" t="inlineStr">
        <is>
          <t>課程數不等於學額、offer數或每校提名額。</t>
        </is>
      </c>
      <c r="N298" s="77" t="inlineStr">
        <is>
          <t>官方公布課程清單</t>
        </is>
      </c>
    </row>
  </sheetData>
  <autoFilter ref="A1:N298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48" customWidth="1" min="3" max="3"/>
    <col width="58" customWidth="1" min="4" max="4"/>
    <col width="24" customWidth="1" min="5" max="5"/>
    <col width="20" customWidth="1" min="6" max="6"/>
    <col width="78" customWidth="1" min="7" max="7"/>
    <col width="88" customWidth="1" min="8" max="8"/>
  </cols>
  <sheetData>
    <row r="1" ht="32" customHeight="1">
      <c r="A1" s="76" t="inlineStr">
        <is>
          <t>來源ID</t>
        </is>
      </c>
      <c r="B1" s="76" t="inlineStr">
        <is>
          <t>發布機構</t>
        </is>
      </c>
      <c r="C1" s="76" t="inlineStr">
        <is>
          <t>文件／頁面</t>
        </is>
      </c>
      <c r="D1" s="76" t="inlineStr">
        <is>
          <t>官方網址</t>
        </is>
      </c>
      <c r="E1" s="76" t="inlineStr">
        <is>
          <t>發布／更新日期</t>
        </is>
      </c>
      <c r="F1" s="76" t="inlineStr">
        <is>
          <t>適用期間</t>
        </is>
      </c>
      <c r="G1" s="76" t="inlineStr">
        <is>
          <t>支持的數字／主張</t>
        </is>
      </c>
      <c r="H1" s="76" t="inlineStr">
        <is>
          <t>限制</t>
        </is>
      </c>
    </row>
    <row r="2" ht="30" customHeight="1">
      <c r="A2" s="77" t="inlineStr">
        <is>
          <t>HKDSE26</t>
        </is>
      </c>
      <c r="B2" s="77" t="inlineStr">
        <is>
          <t>香港考試及評核局</t>
        </is>
      </c>
      <c r="C2" s="77" t="inlineStr">
        <is>
          <t>2026 HKDSE Results Released</t>
        </is>
      </c>
      <c r="D2" s="8" t="inlineStr">
        <is>
          <t>https://www.hkeaa.edu.hk/DocLibrary/Media/PR/HKDSE26_ResultsReleased_en.pdf</t>
        </is>
      </c>
      <c r="E2" s="77" t="inlineStr">
        <is>
          <t>2026-07-15</t>
        </is>
      </c>
      <c r="F2" s="77" t="inlineStr">
        <is>
          <t>2026</t>
        </is>
      </c>
      <c r="G2" s="77" t="inlineStr">
        <is>
          <t>2026報考及實際應考人數、核心／選修科成績組合，以及達副學位最低入學要求的日校考生人數與比例。英文新聞稿將73.2%母體寫為應考相關科目的日校考生。</t>
        </is>
      </c>
      <c r="H2" s="77" t="inlineStr">
        <is>
          <t>附件一Table 1列No. entered=43,534、No. sat=43,347；15,973/43,347=36.849…%，與公布36.8%核對相符。副學位最低要求指標公布30,977人／73.2%；英文新聞稿將母體界定為應考相關科目的日校考生，而非所有No. sat。新聞稿未列該子群精確人數；30,977/43,347=71.463%僅說明不能用全體No. sat作分母。本輪查閱官方詳細統計目錄時找到截至2025年的年度詳細表；尚未找到可核2026同類詳細分母的年度表。</t>
        </is>
      </c>
    </row>
    <row r="3" ht="30" customHeight="1">
      <c r="A3" s="78" t="inlineStr">
        <is>
          <t>JUPAS-MR</t>
        </is>
      </c>
      <c r="B3" s="78" t="inlineStr">
        <is>
          <t>JUPAS</t>
        </is>
      </c>
      <c r="C3" s="78" t="inlineStr">
        <is>
          <t>Main Round Offer Statistics</t>
        </is>
      </c>
      <c r="D3" s="8" t="inlineStr">
        <is>
          <t>https://www.jupas.edu.hk/en/about-jupas/publicity-materials-satistics-press-release/main-round-offer/</t>
        </is>
      </c>
      <c r="E3" s="78" t="inlineStr">
        <is>
          <t>2026-08</t>
        </is>
      </c>
      <c r="F3" s="78" t="inlineStr">
        <is>
          <t>2025–2026</t>
        </is>
      </c>
      <c r="G3" s="78" t="inlineStr">
        <is>
          <t>一般Main Round申請人、特定類別offer持有人、官方公布比例</t>
        </is>
      </c>
      <c r="H3" s="78" t="inlineStr">
        <is>
          <t>官方頁列出一般Main Round applicants及指定offer類別（UGC資助學士、都大自資學士、教大資助高級文憑）；2025/2026一般offer率可各自複算。另與SSSDP分頁結合時，JUPAS一人一個Main Round offer規則可支持推算跨類別唯一offer人數；該合計仍是本研究跨表衍生，不代表接受／註冊／入讀，也不涵蓋後續輪次。</t>
        </is>
      </c>
    </row>
    <row r="4" ht="30" customHeight="1">
      <c r="A4" s="77" t="inlineStr">
        <is>
          <t>JUPAS-SSSDP-MR</t>
        </is>
      </c>
      <c r="B4" s="77" t="inlineStr">
        <is>
          <t>JUPAS</t>
        </is>
      </c>
      <c r="C4" s="77" t="inlineStr">
        <is>
          <t>SSSDP Main Round Offer Statistics</t>
        </is>
      </c>
      <c r="D4" s="8" t="inlineStr">
        <is>
          <t>https://www.jupas.edu.hk/en/sssdp/further-information/offer-statistics/main-round-offer-statistics/</t>
        </is>
      </c>
      <c r="E4" s="77" t="inlineStr">
        <is>
          <t>2026-08</t>
        </is>
      </c>
      <c r="F4" s="77" t="inlineStr">
        <is>
          <t>2025–2026</t>
        </is>
      </c>
      <c r="G4" s="77" t="inlineStr">
        <is>
          <t>SSSDP主輪offer持有人數</t>
        </is>
      </c>
      <c r="H4" s="77" t="inlineStr">
        <is>
          <t>SSSDP Main Round官方另頁列獲offer申請人數；與一般Main Round統計可依JUPAS一人一個Main Round offer規則相加，得到跨兩表唯一獲offer申請人數（須標明為研究者衍生值）。不代表接受／註冊／入讀，也不涵蓋後續重新考慮或Clearing Round。</t>
        </is>
      </c>
    </row>
    <row r="5" ht="30" customHeight="1">
      <c r="A5" s="78" t="inlineStr">
        <is>
          <t>EDB-UGC-CAP</t>
        </is>
      </c>
      <c r="B5" s="78" t="inlineStr">
        <is>
          <t>教育局</t>
        </is>
      </c>
      <c r="C5" s="78" t="inlineStr">
        <is>
          <t>Publicly-funded Programmes</t>
        </is>
      </c>
      <c r="D5" s="8" t="inlineStr">
        <is>
          <t>https://www.edb.gov.hk/en/edu-system/postsecondary/local-higher-edu/publicly-funded-programmes/index.html</t>
        </is>
      </c>
      <c r="E5" s="78" t="inlineStr">
        <is>
          <t>2026-10-09</t>
        </is>
      </c>
      <c r="F5" s="78" t="inlineStr">
        <is>
          <t>年度容量基線</t>
        </is>
      </c>
      <c r="G5" s="78" t="inlineStr">
        <is>
          <t>15,000 FYFD及約5,000 senior-year places</t>
        </is>
      </c>
      <c r="H5" s="78" t="inlineStr">
        <is>
          <t>senior-year標為約數；容量定義不是所有大專學額或DSE考生成功率</t>
        </is>
      </c>
    </row>
    <row r="6" ht="30" customHeight="1">
      <c r="A6" s="77" t="inlineStr">
        <is>
          <t>EDB-SSSDP-2728</t>
        </is>
      </c>
      <c r="B6" s="77" t="inlineStr">
        <is>
          <t>教育局／政府新聞公報</t>
        </is>
      </c>
      <c r="C6" s="77" t="inlineStr">
        <is>
          <t>2027/28 SSSDP undergraduate places and subsidy</t>
        </is>
      </c>
      <c r="D6" s="8" t="inlineStr">
        <is>
          <t>https://www.info.gov.hk/gia/general/202609/21/P2026092100224.htm</t>
        </is>
      </c>
      <c r="E6" s="77" t="inlineStr">
        <is>
          <t>2026-09-21</t>
        </is>
      </c>
      <c r="F6" s="77" t="inlineStr">
        <is>
          <t>2027/28</t>
        </is>
      </c>
      <c r="G6" s="77" t="inlineStr">
        <is>
          <t>第一年／銜接學士課程數、學額、應用學位課程數及資助額</t>
        </is>
      </c>
      <c r="H6" s="77" t="inlineStr">
        <is>
          <t>只限指定SSSDP課程；副學位組別當時尚未公布</t>
        </is>
      </c>
    </row>
    <row r="7" ht="30" customHeight="1">
      <c r="A7" s="78" t="inlineStr">
        <is>
          <t>EDB-SNDAS-2728</t>
        </is>
      </c>
      <c r="B7" s="78" t="inlineStr">
        <is>
          <t>教育局</t>
        </is>
      </c>
      <c r="C7" s="78" t="inlineStr">
        <is>
          <t>SNDAS Designated Programmes 2027/28</t>
        </is>
      </c>
      <c r="D7" s="8" t="inlineStr">
        <is>
          <t>https://www.edb.gov.hk/en/edu-system/postsecondary/policy-doc/SNDAS/designatedprogrammes_2027-28.html</t>
        </is>
      </c>
      <c r="E7" s="78" t="inlineStr">
        <is>
          <t>2026-10-08</t>
        </is>
      </c>
      <c r="F7" s="78" t="inlineStr">
        <is>
          <t>2027/28</t>
        </is>
      </c>
      <c r="G7" s="78" t="inlineStr">
        <is>
          <t>參與指定課程數</t>
        </is>
      </c>
      <c r="H7" s="78" t="inlineStr">
        <is>
          <t>課程數不是資助學額或錄取名額</t>
        </is>
      </c>
    </row>
    <row r="8" ht="30" customHeight="1">
      <c r="A8" s="77" t="inlineStr">
        <is>
          <t>UGC-TUITION</t>
        </is>
      </c>
      <c r="B8" s="77" t="inlineStr">
        <is>
          <t>政府新聞公報／教資會</t>
        </is>
      </c>
      <c r="C8" s="77" t="inlineStr">
        <is>
          <t>UGC-funded tuition fee schedule 2024/25–2027/28</t>
        </is>
      </c>
      <c r="D8" s="8" t="inlineStr">
        <is>
          <t>https://www.info.gov.hk/gia/general/202406/20/P2024062000254.htm</t>
        </is>
      </c>
      <c r="E8" s="77" t="inlineStr">
        <is>
          <t>2024-06-20</t>
        </is>
      </c>
      <c r="F8" s="77" t="inlineStr">
        <is>
          <t>2024/25–2027/28</t>
        </is>
      </c>
      <c r="G8" s="77" t="inlineStr">
        <is>
          <t>UGC資助學士／研究生及副學位標準年度學費</t>
        </is>
      </c>
      <c r="H8" s="77" t="inlineStr">
        <is>
          <t>只適用相關合資格資助學額；不適用自資及非本地學費</t>
        </is>
      </c>
    </row>
    <row r="9" ht="30" customHeight="1">
      <c r="A9" s="78" t="inlineStr">
        <is>
          <t>WFSFAA-FASP-2627</t>
        </is>
      </c>
      <c r="B9" s="78" t="inlineStr">
        <is>
          <t>學生資助處（WFSFAA）</t>
        </is>
      </c>
      <c r="C9" s="78" t="inlineStr">
        <is>
          <t>FASP 2026/27 maximum assistance levels</t>
        </is>
      </c>
      <c r="D9" s="8" t="inlineStr">
        <is>
          <t>https://www.wfsfaa.gov.hk/en/sfo/postsecondary/fasp/level.php</t>
        </is>
      </c>
      <c r="E9" s="78" t="inlineStr">
        <is>
          <t>2026-10-09</t>
        </is>
      </c>
      <c r="F9" s="78" t="inlineStr">
        <is>
          <t>2026/27</t>
        </is>
      </c>
      <c r="G9" s="78" t="inlineStr">
        <is>
          <t>FASP學費助學金、學習開支助學金及生活費貸款最高額</t>
        </is>
      </c>
      <c r="H9" s="78" t="inlineStr">
        <is>
          <t>means-tested上限；不是每名學生實得金額</t>
        </is>
      </c>
    </row>
    <row r="10" ht="30" customHeight="1">
      <c r="A10" s="77" t="inlineStr">
        <is>
          <t>EDB-MAINLAND-2627</t>
        </is>
      </c>
      <c r="B10" s="77" t="inlineStr">
        <is>
          <t>教育局／政府新聞公報</t>
        </is>
      </c>
      <c r="C10" s="77" t="inlineStr">
        <is>
          <t>2026/27 Scheme for Admission of Hong Kong Students to Mainland Higher Education Institutions</t>
        </is>
      </c>
      <c r="D10" s="8" t="inlineStr">
        <is>
          <t>https://www.info.gov.hk/gia/general/202512/01/P2025120100297.htm</t>
        </is>
      </c>
      <c r="E10" s="77" t="inlineStr">
        <is>
          <t>2025-12-01</t>
        </is>
      </c>
      <c r="F10" s="77" t="inlineStr">
        <is>
          <t>2026/27</t>
        </is>
      </c>
      <c r="G10" s="77" t="inlineStr">
        <is>
          <t>參與內地高校數</t>
        </is>
      </c>
      <c r="H10" s="77" t="inlineStr">
        <is>
          <t>名單及招生要求逐年更新，不能外推2027/28</t>
        </is>
      </c>
    </row>
    <row r="11" ht="30" customHeight="1">
      <c r="A11" s="78" t="inlineStr">
        <is>
          <t>EDB-S6-2025</t>
        </is>
      </c>
      <c r="B11" s="78" t="inlineStr">
        <is>
          <t>教育局</t>
        </is>
      </c>
      <c r="C11" s="78" t="inlineStr">
        <is>
          <t>2025 Survey on Destinations of Secondary 6 Graduates</t>
        </is>
      </c>
      <c r="D11" s="8" t="inlineStr">
        <is>
          <t>https://www.edb.gov.hk/attachment/en/about-edb/publications-stat/figures/S6_25.pdf</t>
        </is>
      </c>
      <c r="E11" s="78" t="inlineStr">
        <is>
          <t>2026（PDF metadata modified 2026-04-14；以官方PDF為準）</t>
        </is>
      </c>
      <c r="F11" s="78" t="inlineStr">
        <is>
          <t>2024/25畢業生；2025年10月觀察</t>
        </is>
      </c>
      <c r="G11" s="78" t="inlineStr">
        <is>
          <t>調查範圍、445所學校、回應數及回應率；Table 2.1活動狀態×學校類別；Table 2.2全日制課程類型×學校類別；Chart 2.5本地／境外升學；Table 2.3境外目的地×課程類型</t>
        </is>
      </c>
      <c r="H11" s="78" t="inlineStr">
        <is>
          <t>只涵蓋提供本地課程的本地普通中學日校中六畢業生；2025年10月觀察；有約數及未回應者；EDB提醒未回應者狀況可能不同；Table 2.3以**保密的格子不可推算；不同學年須核對分類定義。PDF物理頁11/14/19（印刷頁6/9/14）。</t>
        </is>
      </c>
    </row>
    <row r="12" ht="30" customHeight="1">
      <c r="A12" s="77" t="inlineStr">
        <is>
          <t>HKDSE25-STAT3D</t>
        </is>
      </c>
      <c r="B12" s="77" t="inlineStr">
        <is>
          <t>香港考試及評核局（HKEAA）</t>
        </is>
      </c>
      <c r="C12" s="77" t="inlineStr">
        <is>
          <t>2025 HKDSE Results Statistics, Table 3d</t>
        </is>
      </c>
      <c r="D12" s="8" t="inlineStr">
        <is>
          <t>https://www.hkeaa.edu.hk/DocLibrary/HKDSE/Exam_Report/Examination_Statistics/2025_HKDSE_results_statistics_table3d_en.csv</t>
        </is>
      </c>
      <c r="E12" s="77" t="inlineStr">
        <is>
          <t>2026-01（HKEAA detailed results statistics; catalogue updated 2026-01）</t>
        </is>
      </c>
      <c r="F12" s="77" t="inlineStr">
        <is>
          <t>2025 HKDSE</t>
        </is>
      </c>
      <c r="G12" s="77" t="inlineStr">
        <is>
          <t>日校考生至少5科甲／乙類科目之統計母體；核心科332A及核心332A＋兩選修科第3級或以上人數與比例</t>
        </is>
      </c>
      <c r="H12" s="77" t="inlineStr">
        <is>
          <t>詳細年度統計為覆核後版本；母體定義須照Table 3d，不應與新聞稿或不同年份不同統計母體直接拼成完全可比序列。</t>
        </is>
      </c>
    </row>
    <row r="13" ht="30" customHeight="1">
      <c r="A13" s="78" t="inlineStr">
        <is>
          <t>EDB-S6-2021</t>
        </is>
      </c>
      <c r="B13" s="78" t="inlineStr">
        <is>
          <t>教育局</t>
        </is>
      </c>
      <c r="C13" s="78" t="inlineStr">
        <is>
          <t>2021 Secondary 6 Students’ Pathway Survey</t>
        </is>
      </c>
      <c r="D13" s="8" t="inlineStr">
        <is>
          <t>https://www.edb.gov.hk/attachment/en/about-edb/publications-stat/figures/S6_21.pdf</t>
        </is>
      </c>
      <c r="E13" s="78" t="inlineStr">
        <is>
          <t>2022-04</t>
        </is>
      </c>
      <c r="F13" s="78" t="inlineStr">
        <is>
          <t>2020/21畢業屆；2021年10月參照</t>
        </is>
      </c>
      <c r="G13" s="78" t="inlineStr">
        <is>
          <t>調查年度／畢業學年、參照期、目標學校範圍、Table 2.1–2.3和相鄰屆別圖表的結構；報告標示Table 2.2為Type of Course、比較圖為Percentage Distribution；Table 2.1–2.3逐格轉錄，Chart 2.5地點分布，調查學校數／目標約數／回應率</t>
        </is>
      </c>
      <c r="H13" s="78" t="inlineStr">
        <is>
          <t>使用本地原始官方PDF及版面文字抽取；關鍵表頁已渲染視覺核對。表2.3保密格維持空值且未推算；非回應可能造成代表性限制；2021–22與2023起「其他全日制課程」分類註釋不同，跨年解讀需遵守crosswalk。</t>
        </is>
      </c>
    </row>
    <row r="14" ht="30" customHeight="1">
      <c r="A14" s="77" t="inlineStr">
        <is>
          <t>EDB-S6-2022</t>
        </is>
      </c>
      <c r="B14" s="77" t="inlineStr">
        <is>
          <t>教育局</t>
        </is>
      </c>
      <c r="C14" s="77" t="inlineStr">
        <is>
          <t>2022 Secondary 6 Students’ Pathway Survey</t>
        </is>
      </c>
      <c r="D14" s="8" t="inlineStr">
        <is>
          <t>https://www.edb.gov.hk/attachment/en/about-edb/publications-stat/figures/S6_22.pdf</t>
        </is>
      </c>
      <c r="E14" s="77" t="inlineStr">
        <is>
          <t>2023-04</t>
        </is>
      </c>
      <c r="F14" s="77" t="inlineStr">
        <is>
          <t>2021/22畢業屆；2022年10月參照</t>
        </is>
      </c>
      <c r="G14" s="77" t="inlineStr">
        <is>
          <t>調查年度／畢業學年、參照期、目標學校範圍、Table 2.1–2.3和2021–2022相鄰屆別圖表的結構；報告標示Type of Courses及Percentage Distribution；Table 2.1–2.3逐格轉錄，Chart 2.5地點分布，調查學校數／目標約數／回應率</t>
        </is>
      </c>
      <c r="H14" s="77" t="inlineStr">
        <is>
          <t>使用本地原始官方PDF及版面文字抽取；關鍵表頁已渲染視覺核對。表2.3保密格維持空值且未推算；非回應可能造成代表性限制；2021–22與2023起「其他全日制課程」分類註釋不同，跨年解讀需遵守crosswalk。</t>
        </is>
      </c>
    </row>
    <row r="15" ht="30" customHeight="1">
      <c r="A15" s="78" t="inlineStr">
        <is>
          <t>EDB-S6-2023</t>
        </is>
      </c>
      <c r="B15" s="78" t="inlineStr">
        <is>
          <t>教育局</t>
        </is>
      </c>
      <c r="C15" s="78" t="inlineStr">
        <is>
          <t>2023 Secondary 6 Students’ Pathway Survey</t>
        </is>
      </c>
      <c r="D15" s="8" t="inlineStr">
        <is>
          <t>https://www.edb.gov.hk/attachment/en/about-edb/publications-stat/figures/S6_23.pdf</t>
        </is>
      </c>
      <c r="E15" s="78" t="inlineStr">
        <is>
          <t>2024-04</t>
        </is>
      </c>
      <c r="F15" s="78" t="inlineStr">
        <is>
          <t>2022/23畢業屆；2023年10月參照</t>
        </is>
      </c>
      <c r="G15" s="78" t="inlineStr">
        <is>
          <t>調查年度／畢業學年、參照期、目標學校範圍、Table 2.1–2.3和2022–2023相鄰屆別圖表的結構；報告標示Type of Programmes及Proportion Distribution；Table 2.1–2.3逐格轉錄，Chart 2.5地點分布，調查學校數／目標約數／回應率</t>
        </is>
      </c>
      <c r="H15" s="78" t="inlineStr">
        <is>
          <t>使用本地原始官方PDF及版面文字抽取；關鍵表頁已渲染視覺核對。表2.3保密格維持空值且未推算；非回應可能造成代表性限制；2021–22與2023起「其他全日制課程」分類註釋不同，跨年解讀需遵守crosswalk。</t>
        </is>
      </c>
    </row>
    <row r="16" ht="30" customHeight="1">
      <c r="A16" s="77" t="inlineStr">
        <is>
          <t>EDB-S6-2024</t>
        </is>
      </c>
      <c r="B16" s="77" t="inlineStr">
        <is>
          <t>教育局</t>
        </is>
      </c>
      <c r="C16" s="77" t="inlineStr">
        <is>
          <t>2024 Secondary 6 Students’ Pathway Survey</t>
        </is>
      </c>
      <c r="D16" s="8" t="inlineStr">
        <is>
          <t>https://www.edb.gov.hk/attachment/en/about-edb/publications-stat/figures/S6_24.pdf</t>
        </is>
      </c>
      <c r="E16" s="77" t="inlineStr">
        <is>
          <t>2025-04</t>
        </is>
      </c>
      <c r="F16" s="77" t="inlineStr">
        <is>
          <t>2023/24畢業屆；2024年10月參照</t>
        </is>
      </c>
      <c r="G16" s="77" t="inlineStr">
        <is>
          <t>調查年度／畢業學年、參照期、目標學校範圍、Table 2.1–2.3和2023–2024相鄰屆別圖表的結構；報告標示Type of Programmes及Proportion Distribution；Table 2.1–2.3逐格轉錄，Chart 2.5地點分布，調查學校數／目標約數／回應率</t>
        </is>
      </c>
      <c r="H16" s="77" t="inlineStr">
        <is>
          <t>使用本地原始官方PDF及版面文字抽取；關鍵表頁已渲染視覺核對。表2.3保密格維持空值且未推算；非回應可能造成代表性限制；2021–22與2023起「其他全日制課程」分類註釋不同，跨年解讀需遵守crosswalk。</t>
        </is>
      </c>
    </row>
    <row r="17" ht="30" customHeight="1">
      <c r="A17" s="78" t="inlineStr">
        <is>
          <t>EDB-S6-ARCHIVE</t>
        </is>
      </c>
      <c r="B17" s="78" t="inlineStr">
        <is>
          <t>教育局</t>
        </is>
      </c>
      <c r="C17" s="78" t="inlineStr">
        <is>
          <t>Report on Secondary 6 Students’ Pathway Survey (archive)</t>
        </is>
      </c>
      <c r="D17" s="8" t="inlineStr">
        <is>
          <t>https://www.edb.gov.hk/en/about-edb/publications-stat/figures/index_2.html</t>
        </is>
      </c>
      <c r="E17" s="78" t="inlineStr">
        <is>
          <t>2026-10-09（核驗日）</t>
        </is>
      </c>
      <c r="F17" s="78" t="inlineStr">
        <is>
          <t>2012–2025年度官方報告目錄</t>
        </is>
      </c>
      <c r="G17" s="78" t="inlineStr">
        <is>
          <t>EDB官方目錄列有2012至2025年度Secondary 6 Students’ Pathway Survey報告，可作年度版本清點。</t>
        </is>
      </c>
      <c r="H17" s="78" t="inlineStr">
        <is>
          <t>目錄頁只證明報告版本存在，不替代各年度報告對調查範圍、分母、方法或數值的原文核驗。</t>
        </is>
      </c>
    </row>
    <row r="18" ht="30" customHeight="1">
      <c r="A18" s="77" t="inlineStr">
        <is>
          <t>HKDSE-STAT-INDEX</t>
        </is>
      </c>
      <c r="B18" s="77" t="inlineStr">
        <is>
          <t>香港考試及評核局</t>
        </is>
      </c>
      <c r="C18" s="77" t="inlineStr">
        <is>
          <t>HKDSE Examination Statistics / Results Statistics catalogue</t>
        </is>
      </c>
      <c r="D18" s="8" t="inlineStr">
        <is>
          <t>https://www.hkeaa.edu.hk/en/HKDSE/assessment/exam_reports/exam_stat/</t>
        </is>
      </c>
      <c r="E18" s="77" t="inlineStr">
        <is>
          <t>2026-10-09（核驗日）</t>
        </is>
      </c>
      <c r="F18" s="77" t="inlineStr">
        <is>
          <t>歷年HKDSE年度詳細統計</t>
        </is>
      </c>
      <c r="G18" s="77" t="inlineStr">
        <is>
          <t>用作確認HKEAA年度詳細統計目錄中可查的報告／表格年度；本輪可見2025年度詳細表。</t>
        </is>
      </c>
      <c r="H18" s="77" t="inlineStr">
        <is>
          <t>目錄快照只支持「本輪查閱時尚未找到2026同類表」，不構成官方宣告未發布；須在影片使用前重新檢查。</t>
        </is>
      </c>
    </row>
    <row r="19" ht="30" customHeight="1">
      <c r="A19" s="78" t="inlineStr">
        <is>
          <t>JUPAS-MR-ONE-OFFER</t>
        </is>
      </c>
      <c r="B19" s="78" t="inlineStr">
        <is>
          <t>JUPAS Office</t>
        </is>
      </c>
      <c r="C19" s="78" t="inlineStr">
        <is>
          <t>Results: Main Round Offer / One-offer rule</t>
        </is>
      </c>
      <c r="D19" s="8" t="inlineStr">
        <is>
          <t>https://www.jupas.edu.hk/en/application-procedures/post-hkdse-exam-results-announcement/main-round-offer/</t>
        </is>
      </c>
      <c r="E19" s="78" t="inlineStr">
        <is>
          <t>2026-10-10（核驗日）</t>
        </is>
      </c>
      <c r="F19" s="78" t="inlineStr">
        <is>
          <t>2026 Main Round；2025 press release亦明載同規則</t>
        </is>
      </c>
      <c r="G19" s="78" t="inlineStr">
        <is>
          <t>每名獲Main Round offer的申請人只獲一個offer；offer類別為UGC-funded、HKMU self-financing或SSSDP。可用於判斷一般統計組別與SSSDP類別在同一Main Round不重複計人。</t>
        </is>
      </c>
      <c r="H19" s="78" t="inlineStr">
        <is>
          <t>該頁為JUPAS現行程序；2025規則另由2025 Main Round press release明文核對。只支持Main Round offer持有人互斥，不代表接受、註冊或實際入讀。</t>
        </is>
      </c>
    </row>
    <row r="20" ht="30" customHeight="1">
      <c r="A20" s="77" t="inlineStr">
        <is>
          <t>JUPAS-MR-UNION</t>
        </is>
      </c>
      <c r="B20" s="77" t="inlineStr">
        <is>
          <t>JUPAS（研究者綜合官方頁面）</t>
        </is>
      </c>
      <c r="C20" s="77" t="inlineStr">
        <is>
          <t>Main Round跨一般統計類別與SSSDP唯一offer人數（研究衍生）</t>
        </is>
      </c>
      <c r="D20" s="8" t="inlineStr">
        <is>
          <t>https://www.jupas.edu.hk/en/about-jupas/publicity-materials-satistics-press-release/main-round-offer/</t>
        </is>
      </c>
      <c r="E20" s="77" t="inlineStr">
        <is>
          <t>2026-10-10（核驗日）</t>
        </is>
      </c>
      <c r="F20" s="77" t="inlineStr">
        <is>
          <t>2025–2026 Main Round</t>
        </is>
      </c>
      <c r="G20" s="77" t="inlineStr">
        <is>
          <t>由一般Main Round offer人數＋SSSDP Main Round offer人數，按JUPAS一人一個Main Round offer規則，推算跨兩官方統計表的唯一offer持有人數及除以同年申請人數的比例。</t>
        </is>
      </c>
      <c r="H20" s="77" t="inlineStr">
        <is>
          <t>不是JUPAS單一官方表直接發布的總數；2025組成數及一人一offer規則見JUPAS 2025 Main Round press release（官方新聞稿PDF由HKU託管）；2026組成數分見一般Main Round和SSSDP官方統計頁。指標只屬Main Round獲offer，不等於接受、註冊／入讀，不是全港升學率或個人錄取概率。</t>
        </is>
      </c>
    </row>
    <row r="21" ht="30" customHeight="1">
      <c r="A21" s="78" t="inlineStr">
        <is>
          <t>EDU-LCQ-2024-UGC-FYFD</t>
        </is>
      </c>
      <c r="B21" s="78" t="inlineStr">
        <is>
          <t>教育局／香港特別行政區政府（立法會書面答覆）</t>
        </is>
      </c>
      <c r="C21" s="78" t="inlineStr">
        <is>
          <t>LCQ12: Pursuing studies at local universities</t>
        </is>
      </c>
      <c r="D21" s="8" t="inlineStr">
        <is>
          <t>https://www.info.gov.hk/gia/general/202411/27/P2024112700195.htm</t>
        </is>
      </c>
      <c r="E21" s="78" t="inlineStr">
        <is>
          <t>2024-11-27</t>
        </is>
      </c>
      <c r="F21" s="78" t="inlineStr">
        <is>
          <t>2021/22–2023/24</t>
        </is>
      </c>
      <c r="G21" s="78" t="inlineStr">
        <is>
          <t>具HKDSE成績並入讀UGC-funded first-year-first-degree programmes的學生，按JUPAS與non-JUPAS入學途徑分列人數。</t>
        </is>
      </c>
      <c r="H21" s="78" t="inlineStr">
        <is>
          <t>只涵蓋題目所列UGC資助FYFD及有HKDSE成績的實際錄取子群；不是JUPAS申請人成功率、Main Round offer接受率或全體UGC學生總數。</t>
        </is>
      </c>
    </row>
    <row r="22" ht="30" customHeight="1">
      <c r="A22" s="77" t="inlineStr">
        <is>
          <t>EDU-LCQ-2025-DEPENDANT</t>
        </is>
      </c>
      <c r="B22" s="77" t="inlineStr">
        <is>
          <t>教育局／香港特別行政區政府（立法會書面答覆）</t>
        </is>
      </c>
      <c r="C22" s="77" t="inlineStr">
        <is>
          <t>LCQ5: Students with dependent visa being admitted to local schools</t>
        </is>
      </c>
      <c r="D22" s="8" t="inlineStr">
        <is>
          <t>https://www.info.gov.hk/gia/general/202503/19/P2025031900471p.htm</t>
        </is>
      </c>
      <c r="E22" s="77" t="inlineStr">
        <is>
          <t>2025-03-19</t>
        </is>
      </c>
      <c r="F22" s="77" t="inlineStr">
        <is>
          <t>2022/23–2024/25</t>
        </is>
      </c>
      <c r="G22" s="77" t="inlineStr">
        <is>
          <t>受養人簽證／進入許可持有人經JUPAS入讀UGC-funded FYFD的分年人數62、68、185。</t>
        </is>
      </c>
      <c r="H22" s="77" t="inlineStr">
        <is>
          <t>此為簽證身分子群，沒有全體JUPAS錄取總數分母；不可代替2024/25全體途徑分布。</t>
        </is>
      </c>
    </row>
    <row r="23" ht="30" customHeight="1">
      <c r="A23" s="78" t="inlineStr">
        <is>
          <t>JUPAS-2026-ACCEPT</t>
        </is>
      </c>
      <c r="B23" s="78" t="inlineStr">
        <is>
          <t>JUPAS</t>
        </is>
      </c>
      <c r="C23" s="78" t="inlineStr">
        <is>
          <t>2026 JUPAS Guide for Offer Results Announcements and Follow-up Arrangements</t>
        </is>
      </c>
      <c r="D23" s="8" t="inlineStr">
        <is>
          <t>https://www.jupas.edu.hk/en/page/detail/13771/</t>
        </is>
      </c>
      <c r="E23" s="78" t="inlineStr">
        <is>
          <t>2026-08</t>
        </is>
      </c>
      <c r="F23" s="78" t="inlineStr">
        <is>
          <t>2026–2027入學</t>
        </is>
      </c>
      <c r="G23" s="78" t="inlineStr">
        <is>
          <t>2026 Main Round結果後的接受offer及付款步驟、重審及Clearing Round流程。</t>
        </is>
      </c>
      <c r="H23" s="78" t="inlineStr">
        <is>
          <t>指引描述程序而非發布完成付款／註冊的總人數；院校註冊日期與細節依錄取院校而異。</t>
        </is>
      </c>
    </row>
    <row r="24" ht="30" customHeight="1">
      <c r="A24" s="77" t="inlineStr">
        <is>
          <t>JUPAS-2026-ACCEPT-DETAIL</t>
        </is>
      </c>
      <c r="B24" s="77" t="inlineStr">
        <is>
          <t>JUPAS／香港科技大學課程資料</t>
        </is>
      </c>
      <c r="C24" s="77" t="inlineStr">
        <is>
          <t>2026 Main Round Offer Acceptance Procedures (HKU JS6626 programme result page)</t>
        </is>
      </c>
      <c r="D24" s="8" t="inlineStr">
        <is>
          <t>https://www.jupas.edu.hk/misc/MR/course_info/JS6626.htm</t>
        </is>
      </c>
      <c r="E24" s="77" t="inlineStr">
        <is>
          <t>2026-08</t>
        </is>
      </c>
      <c r="F24" s="77" t="inlineStr">
        <is>
          <t>2026–2027入學</t>
        </is>
      </c>
      <c r="G24" s="77" t="inlineStr">
        <is>
          <t>此UGC-funded課程頁列明接受offer須繳HK$5,000及完成院校註冊／入學手續；未完成其一將視為放棄。</t>
        </is>
      </c>
      <c r="H24" s="77" t="inlineStr">
        <is>
          <t>具體頁面屬HKU JS6626課程結果頁；金額與日期可作2026程序核對例證，院校註冊時程仍以各錄取院校指示為準。</t>
        </is>
      </c>
    </row>
    <row r="25" ht="30" customHeight="1">
      <c r="A25" s="78" t="inlineStr">
        <is>
          <t>JUPAS-2026-RR</t>
        </is>
      </c>
      <c r="B25" s="78" t="inlineStr">
        <is>
          <t>JUPAS</t>
        </is>
      </c>
      <c r="C25" s="78" t="inlineStr">
        <is>
          <t>Offer Results after Reconsideration</t>
        </is>
      </c>
      <c r="D25" s="8" t="inlineStr">
        <is>
          <t>https://www.jupas.edu.hk/en/about-jupas/publicity-materials-satistics-press-release/offer-results-after-reconsideration/</t>
        </is>
      </c>
      <c r="E25" s="78" t="inlineStr">
        <is>
          <t>2026-08</t>
        </is>
      </c>
      <c r="F25" s="78" t="inlineStr">
        <is>
          <t>2026</t>
        </is>
      </c>
      <c r="G25" s="78" t="inlineStr">
        <is>
          <t>2026因HKDSE rechecking/remarking成績上調而提出覆核的人數及覆核結果類別。</t>
        </is>
      </c>
      <c r="H25" s="78" t="inlineStr">
        <is>
          <t>只包括提出覆核申請者；是offer結果變動／原狀統計，不是接受、註冊、最終入讀或全體Main Round轉化率。</t>
        </is>
      </c>
    </row>
    <row r="26" ht="30" customHeight="1">
      <c r="A26" s="77" t="inlineStr">
        <is>
          <t>SNDAS-2026-COHORT5</t>
        </is>
      </c>
      <c r="B26" s="77" t="inlineStr">
        <is>
          <t>教育局／香港特別行政區政府新聞公報</t>
        </is>
      </c>
      <c r="C26" s="77" t="inlineStr">
        <is>
          <t>Selection completed for fifth cohort of School Nominations Direct Admission Scheme</t>
        </is>
      </c>
      <c r="D26" s="8" t="inlineStr">
        <is>
          <t>https://www.info.gov.hk/gia/general/202607/09/P2026070900208p.htm</t>
        </is>
      </c>
      <c r="E26" s="77" t="inlineStr">
        <is>
          <t>2026-07-09</t>
        </is>
      </c>
      <c r="F26" s="77" t="inlineStr">
        <is>
          <t>2026 HKDSE / 2026-2027入學</t>
        </is>
      </c>
      <c r="G26" s="77" t="inlineStr">
        <is>
          <t>第五屆SNDAS的847份有效提名、433所提名學校、325份放榜前直接錄取offer、319名接受offer者。</t>
        </is>
      </c>
      <c r="H26" s="77" t="inlineStr">
        <is>
          <t>官方稱接受offer者將於2026年9月開始UGC資助本科課程；該公告發布於開學前，不能單獨證明其後完成註冊或實際到校；各學科接受offer明細另見Annex，尚未逐項抽取。</t>
        </is>
      </c>
    </row>
    <row r="27" ht="30" customHeight="1">
      <c r="A27" s="78" t="inlineStr">
        <is>
          <t>SNDAS-2027-28-RULES</t>
        </is>
      </c>
      <c r="B27" s="78" t="inlineStr">
        <is>
          <t>教育局</t>
        </is>
      </c>
      <c r="C27" s="78" t="inlineStr">
        <is>
          <t>School Nominations Direct Admission Scheme — Sixth cohort / 2027/28</t>
        </is>
      </c>
      <c r="D27" s="8" t="inlineStr">
        <is>
          <t>https://www.edb.gov.hk/en/edu-system/postsecondary/policy-doc/SNDAS/index.html</t>
        </is>
      </c>
      <c r="E27" s="78" t="inlineStr">
        <is>
          <t>2026-10-10（本研究查閱）</t>
        </is>
      </c>
      <c r="F27" s="78" t="inlineStr">
        <is>
          <t>2027 HKDSE / 2027-2028入學</t>
        </is>
      </c>
      <c r="G27" s="78" t="inlineStr">
        <is>
          <t>第六屆SNDAS資格、2026-10-07至12-02提名期、每所本地中學兩個提名、每位學生一個指定課程、JUPAS並行、提名與接受安排。</t>
        </is>
      </c>
      <c r="H27" s="78" t="inlineStr">
        <is>
          <t>課程各自有入學要求；部分需Band A；提名不保證offer；CATI-5身份／居港資格須另外核對。</t>
        </is>
      </c>
    </row>
    <row r="28" ht="30" customHeight="1">
      <c r="A28" s="77" t="inlineStr">
        <is>
          <t>SNDAS-2027-28-PROGRAMMES</t>
        </is>
      </c>
      <c r="B28" s="77" t="inlineStr">
        <is>
          <t>教育局</t>
        </is>
      </c>
      <c r="C28" s="77" t="inlineStr">
        <is>
          <t>Designated programmes in the 2027/28 academic year</t>
        </is>
      </c>
      <c r="D28" s="8" t="inlineStr">
        <is>
          <t>https://www.edb.gov.hk/en/edu-system/postsecondary/policy-doc/SNDAS/designatedprogrammes_2027-28.html</t>
        </is>
      </c>
      <c r="E28" s="77" t="inlineStr">
        <is>
          <t>2026-10-08（更新日）</t>
        </is>
      </c>
      <c r="F28" s="77" t="inlineStr">
        <is>
          <t>2027/28</t>
        </is>
      </c>
      <c r="G28" s="77" t="inlineStr">
        <is>
          <t>八所UGC資助大學共316個公帑資助本科課程參與第六屆SNDAS。</t>
        </is>
      </c>
      <c r="H28" s="77" t="inlineStr">
        <is>
          <t>316是課程數，不是名額或錄取人數；個別要求可能變動。</t>
        </is>
      </c>
    </row>
    <row r="29" ht="30" customHeight="1">
      <c r="A29" s="78" t="inlineStr">
        <is>
          <t>JUPAS-2027-ELIGIBILITY</t>
        </is>
      </c>
      <c r="B29" s="78" t="inlineStr">
        <is>
          <t>大學聯合招生處（JUPAS）</t>
        </is>
      </c>
      <c r="C29" s="78" t="inlineStr">
        <is>
          <t>Eligibility Requirements / 2027 JUPAS transitional CATI-5 residency requirement</t>
        </is>
      </c>
      <c r="D29" s="8" t="inlineStr">
        <is>
          <t>https://www.jupas.edu.hk/en/eligibility/eligibility-requirements/cati-5-requirements-and-supporting-documents/</t>
        </is>
      </c>
      <c r="E29" s="78" t="inlineStr">
        <is>
          <t>2026-10-10（本研究查閱）</t>
        </is>
      </c>
      <c r="F29" s="78" t="inlineStr">
        <is>
          <t>2027 JUPAS Admissions Exercise / 2027-2028入學</t>
        </is>
      </c>
      <c r="G29" s="78" t="inlineStr">
        <is>
          <t>CATI-5身份文件與居港證明要求；2027年度一年過渡期（2026-06-01至2027-05-31）；以旅遊紀錄計算時每個適用年度不在港日數上限90日；2028年度起適用兩年期。</t>
        </is>
      </c>
      <c r="H29" s="78" t="inlineStr">
        <is>
          <t>只適用JUPAS CATI-5相關申請人；不等於SNDAS課程學術要求。學校就讀證明可按官方條件證明相應期間，且符合條件的在學期間離港日數計算另有說明；個案須依JUPAS正式規定及文件審核。</t>
        </is>
      </c>
    </row>
    <row r="30" ht="30" customHeight="1">
      <c r="A30" s="77" t="inlineStr">
        <is>
          <t>SNDAS-2027-28-ANNOUNCEMENT</t>
        </is>
      </c>
      <c r="B30" s="77" t="inlineStr">
        <is>
          <t>香港特別行政區政府新聞公報／教育局</t>
        </is>
      </c>
      <c r="C30" s="77" t="inlineStr">
        <is>
          <t>Sixth cohort of School Nominations Direct Admission Scheme opens for applications</t>
        </is>
      </c>
      <c r="D30" s="8" t="inlineStr">
        <is>
          <t>https://www.info.gov.hk/gia/general/202609/24/P2026092400222.htm</t>
        </is>
      </c>
      <c r="E30" s="77" t="inlineStr">
        <is>
          <t>2026-09-24</t>
        </is>
      </c>
      <c r="F30" s="77" t="inlineStr">
        <is>
          <t>2027 HKDSE / 2027-2028入學</t>
        </is>
      </c>
      <c r="G30" s="77" t="inlineStr">
        <is>
          <t>2027/28第六屆SNDAS提名期2026-10-07至12-02；每所本地中學可提名兩名學生；每名學生申請一個指定UGC資助本科課程；須同步經JUPAS申請並應考HKDSE。</t>
        </is>
      </c>
      <c r="H30" s="77" t="inlineStr">
        <is>
          <t>政府公告概括稱指定課程超過300個；精確316以EDB當屆課程清單為準；個別課程另有要求。</t>
        </is>
      </c>
    </row>
    <row r="31" ht="30" customHeight="1">
      <c r="A31" s="78" t="inlineStr">
        <is>
          <t>SNDAS-2027-28-FAQ</t>
        </is>
      </c>
      <c r="B31" s="78" t="inlineStr">
        <is>
          <t>教育局</t>
        </is>
      </c>
      <c r="C31" s="78" t="inlineStr">
        <is>
          <t>School Nominations Direct Admission Scheme (SNDAS) 2027/28 FAQs</t>
        </is>
      </c>
      <c r="D31" s="8" t="inlineStr">
        <is>
          <t>https://www.edb.gov.hk/attachment/en/edu-system/postsecondary/policy-doc/SNDAS/2027-28/SNDAS_FAQs_EN.pdf</t>
        </is>
      </c>
      <c r="E31" s="78" t="inlineStr">
        <is>
          <t>2026-10（本研究查閱）</t>
        </is>
      </c>
      <c r="F31" s="78" t="inlineStr">
        <is>
          <t>2027/28</t>
        </is>
      </c>
      <c r="G31" s="78" t="inlineStr">
        <is>
          <t>每位提名學生限報一個指定課程並須列入JUPAS選擇；課程可能要求Band A；大學面試／其他評核；接受firm offer具約束力且JUPAS申請自動移除。</t>
        </is>
      </c>
      <c r="H31" s="78" t="inlineStr">
        <is>
          <t>規則按2027/28屆指南；不可未核實便倒推為2026屆JUPAS公開統計的去重方法。</t>
        </is>
      </c>
    </row>
  </sheetData>
  <autoFilter ref="A1:H3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</hyperlinks>
  <pageMargins left="0.7" right="0.7" top="0.75" bottom="0.75" header="0.3" footer="0.3"/>
  <tableParts count="1">
    <tablePart xmlns:r="http://schemas.openxmlformats.org/officeDocument/2006/relationships" r:id="rId3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6" customWidth="1" min="2" max="2"/>
    <col width="76" customWidth="1" min="3" max="3"/>
    <col width="76" customWidth="1" min="4" max="4"/>
  </cols>
  <sheetData>
    <row r="1" ht="32" customHeight="1">
      <c r="A1" s="76" t="inlineStr">
        <is>
          <t>指標／類別</t>
        </is>
      </c>
      <c r="B1" s="76" t="inlineStr">
        <is>
          <t>定義／計算</t>
        </is>
      </c>
      <c r="C1" s="76" t="inlineStr">
        <is>
          <t>分母與統計範圍</t>
        </is>
      </c>
      <c r="D1" s="76" t="inlineStr">
        <is>
          <t>解讀限制</t>
        </is>
      </c>
    </row>
    <row r="2" ht="30" customHeight="1">
      <c r="A2" s="77" t="inlineStr">
        <is>
          <t>HKDSE報考／應考人數</t>
        </is>
      </c>
      <c r="B2" s="77" t="inlineStr">
        <is>
          <t>考評局公布的報考及實際應考總量。</t>
        </is>
      </c>
      <c r="C2" s="77" t="inlineStr">
        <is>
          <t>依該年官方表列母體；entered與sat不可混用。</t>
        </is>
      </c>
      <c r="D2" s="77" t="inlineStr">
        <is>
          <t>不等於所有S6畢業生或大學申請人。</t>
        </is>
      </c>
    </row>
    <row r="3" ht="30" customHeight="1">
      <c r="A3" s="78" t="inlineStr">
        <is>
          <t>HKDSE 2026：四核心332A</t>
        </is>
      </c>
      <c r="B3" s="78" t="inlineStr">
        <is>
          <t>2026日校考生指定四核心科達332A或以上。</t>
        </is>
      </c>
      <c r="C3" s="78" t="inlineStr">
        <is>
          <t>只用HKEAA對該指標明列的同一母體。</t>
        </is>
      </c>
      <c r="D3" s="78" t="inlineStr">
        <is>
          <t>不代表入大學率；與2025詳細表需先對齊母體。</t>
        </is>
      </c>
    </row>
    <row r="4" ht="30" customHeight="1">
      <c r="A4" s="77" t="inlineStr">
        <is>
          <t>HKDSE 2026：副學位最低要求</t>
        </is>
      </c>
      <c r="B4" s="77" t="inlineStr">
        <is>
          <t>30,977人／約73.2%，以應考相關要求科目的日校考生子群為母體。</t>
        </is>
      </c>
      <c r="C4" s="77" t="inlineStr">
        <is>
          <t>精確子群分母未核實；不得用43,347全體No. sat替代。</t>
        </is>
      </c>
      <c r="D4" s="77" t="inlineStr">
        <is>
          <t>公布比例不可錯寫成全體應考者比例。</t>
        </is>
      </c>
    </row>
    <row r="5" ht="30" customHeight="1">
      <c r="A5" s="78" t="inlineStr">
        <is>
          <t>JUPAS一般Main Round offer率</t>
        </is>
      </c>
      <c r="B5" s="78" t="inlineStr">
        <is>
          <t>同一官方統計表內指定offer持有人數 ÷ 同表申請人數。</t>
        </is>
      </c>
      <c r="C5" s="78" t="inlineStr">
        <is>
          <t>分子分母必須出自同一年度、同一統計範圍。</t>
        </is>
      </c>
      <c r="D5" s="78" t="inlineStr">
        <is>
          <t>不是全港DSE升學率、個人機率或接受率。</t>
        </is>
      </c>
    </row>
    <row r="6" ht="30" customHeight="1">
      <c r="A6" s="77" t="inlineStr">
        <is>
          <t>JUPAS offer／接受／註冊／入讀</t>
        </is>
      </c>
      <c r="B6" s="77" t="inlineStr">
        <is>
          <t>分別指獲offer、按程序接受／繳費、院校註冊及實際入讀。</t>
        </is>
      </c>
      <c r="C6" s="77" t="inlineStr">
        <is>
          <t>各節點若無獨立官方數字，維持未公布／未核實。</t>
        </is>
      </c>
      <c r="D6" s="77" t="inlineStr">
        <is>
          <t>不得把前一節點當成後一節點。</t>
        </is>
      </c>
    </row>
    <row r="7" ht="30" customHeight="1">
      <c r="A7" s="78" t="inlineStr">
        <is>
          <t>SSSDP offer</t>
        </is>
      </c>
      <c r="B7" s="78" t="inlineStr">
        <is>
          <t>SSSDP Main Round統計頁公布的offer持有人數。</t>
        </is>
      </c>
      <c r="C7" s="78" t="inlineStr">
        <is>
          <t>使用SSSDP自身年度統計分母。</t>
        </is>
      </c>
      <c r="D7" s="78" t="inlineStr">
        <is>
          <t>與一般JUPAS分表呈現；不任意相加為全體唯一人數。</t>
        </is>
      </c>
    </row>
    <row r="8" ht="30" customHeight="1">
      <c r="A8" s="77" t="inlineStr">
        <is>
          <t>SNDAS轉化比例</t>
        </is>
      </c>
      <c r="B8" s="77" t="inlineStr">
        <is>
          <t>計劃內offer ÷ 有效提名；接受數 ÷ 計劃offer。</t>
        </is>
      </c>
      <c r="C8" s="77" t="inlineStr">
        <is>
          <t>只限被中學提名及進入SNDAS程序的群體。</t>
        </is>
      </c>
      <c r="D8" s="77" t="inlineStr">
        <is>
          <t>不是一般考生錄取率；接受offer不等於註冊。</t>
        </is>
      </c>
    </row>
    <row r="9" ht="30" customHeight="1">
      <c r="A9" s="78" t="inlineStr">
        <is>
          <t>EDB S6活動狀態</t>
        </is>
      </c>
      <c r="B9" s="78" t="inlineStr">
        <is>
          <t>EDB調查中畢業生在指定參照期的活動狀態。</t>
        </is>
      </c>
      <c r="C9" s="78" t="inlineStr">
        <is>
          <t>按該年報表指定回應者及學校類別分母。</t>
        </is>
      </c>
      <c r="D9" s="78" t="inlineStr">
        <is>
          <t>高回應率不代表無非回應偏差。</t>
        </is>
      </c>
    </row>
    <row r="10" ht="30" customHeight="1">
      <c r="A10" s="77" t="inlineStr">
        <is>
          <t>EDB S6課程／地點</t>
        </is>
      </c>
      <c r="B10" s="77" t="inlineStr">
        <is>
          <t>全日制求學者的課程類別或本地／境外地點分布。</t>
        </is>
      </c>
      <c r="C10" s="77" t="inlineStr">
        <is>
          <t>按當年表格指定的全日制求學者子群。</t>
        </is>
      </c>
      <c r="D10" s="77" t="inlineStr">
        <is>
          <t>不能以全體S6畢業生或大學學額作分母。</t>
        </is>
      </c>
    </row>
    <row r="11" ht="30" customHeight="1">
      <c r="A11" s="78" t="inlineStr">
        <is>
          <t>UGC FYFD入讀途徑</t>
        </is>
      </c>
      <c r="B11" s="78" t="inlineStr">
        <is>
          <t>符合該報表定義的UGC-funded first-year full-time degree入讀者途徑組成。</t>
        </is>
      </c>
      <c r="C11" s="78" t="inlineStr">
        <is>
          <t>已入讀且具報表限定資格者，不是申請人母體。</t>
        </is>
      </c>
      <c r="D11" s="78" t="inlineStr">
        <is>
          <t>不能解讀為JUPAS申請錄取率。</t>
        </is>
      </c>
    </row>
    <row r="12" ht="30" customHeight="1">
      <c r="A12" s="77" t="inlineStr">
        <is>
          <t>學費與資助上限</t>
        </is>
      </c>
      <c r="B12" s="77" t="inlineStr">
        <is>
          <t>按學年、身份及計劃所公布的標準收費或資助上限。</t>
        </is>
      </c>
      <c r="C12" s="77" t="inlineStr">
        <is>
          <t>上限不等於平均實領；分開學費、助學金及貸款。</t>
        </is>
      </c>
      <c r="D12" s="77" t="inlineStr">
        <is>
          <t>不代表家庭實際總成本。</t>
        </is>
      </c>
    </row>
    <row r="13" ht="30" customHeight="1">
      <c r="A13" s="78" t="inlineStr">
        <is>
          <t>保密值／缺失值</t>
        </is>
      </c>
      <c r="B13" s="78" t="inlineStr">
        <is>
          <t>來源未提供、尚未提取或被統計保密的值。</t>
        </is>
      </c>
      <c r="C13" s="78" t="inlineStr">
        <is>
          <t>保持空白並記錄缺失原因。</t>
        </is>
      </c>
      <c r="D13" s="78" t="inlineStr">
        <is>
          <t>不得以0、平均值或反算估計代填。</t>
        </is>
      </c>
    </row>
  </sheetData>
  <autoFilter ref="A1:D13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66" customWidth="1" min="3" max="3"/>
    <col width="62" customWidth="1" min="4" max="4"/>
    <col width="82" customWidth="1" min="5" max="5"/>
    <col width="86" customWidth="1" min="6" max="6"/>
  </cols>
  <sheetData>
    <row r="1" ht="32" customHeight="1">
      <c r="A1" s="76" t="inlineStr">
        <is>
          <t>待辦ID</t>
        </is>
      </c>
      <c r="B1" s="76" t="inlineStr">
        <is>
          <t>資料主題</t>
        </is>
      </c>
      <c r="C1" s="76" t="inlineStr">
        <is>
          <t>官方來源／表號</t>
        </is>
      </c>
      <c r="D1" s="76" t="inlineStr">
        <is>
          <t>要提取／核對的欄位</t>
        </is>
      </c>
      <c r="E1" s="76" t="inlineStr">
        <is>
          <t>目前狀態</t>
        </is>
      </c>
      <c r="F1" s="76" t="inlineStr">
        <is>
          <t>剩餘工作／驗收條件</t>
        </is>
      </c>
    </row>
    <row r="2" ht="30" customHeight="1">
      <c r="A2" s="77" t="inlineStr">
        <is>
          <t>P1</t>
        </is>
      </c>
      <c r="B2" s="77" t="inlineStr">
        <is>
          <t>S6畢業去向時間序列</t>
        </is>
      </c>
      <c r="C2" s="77" t="inlineStr">
        <is>
          <t>EDB 2021–2025 S6 survey Tables 2.1–2.3, Chart 2.5</t>
        </is>
      </c>
      <c r="D2" s="77" t="inlineStr">
        <is>
          <t>活動狀態、課程類型、境外地點、調查涵蓋及年度定義</t>
        </is>
      </c>
      <c r="E2" s="77" t="inlineStr">
        <is>
          <t>已完成2021–2025逐表抽取、跨年口徑對照及趨勢資料；2023起分類變更分段比較，保密格不推算。</t>
        </is>
      </c>
      <c r="F2" s="77" t="inlineStr">
        <is>
          <t>下一年度官方報告發布後再更新；不能把歷年差異解讀為個人去向轉變。</t>
        </is>
      </c>
    </row>
    <row r="3" ht="30" customHeight="1">
      <c r="A3" s="78" t="inlineStr">
        <is>
          <t>P2</t>
        </is>
      </c>
      <c r="B3" s="78" t="inlineStr">
        <is>
          <t>HKDSE 2026副學位最低要求分母</t>
        </is>
      </c>
      <c r="C3" s="78" t="inlineStr">
        <is>
          <t>HKEAA 2026 Results Released；報告19</t>
        </is>
      </c>
      <c r="D3" s="78" t="inlineStr">
        <is>
          <t>30,977及約73.2%所用相關科目子群的精確分母</t>
        </is>
      </c>
      <c r="E3" s="78" t="inlineStr">
        <is>
          <t>已釐清官方比例母體為應考相關入學要求科目的日校考生子群；不是全體日校No. sat=43,347。</t>
        </is>
      </c>
      <c r="F3" s="78" t="inlineStr">
        <is>
          <t>精確子群人數仍未由已核對表格確認；反算區間只作檢索線索，不得當官方分母。</t>
        </is>
      </c>
    </row>
    <row r="4" ht="30" customHeight="1">
      <c r="A4" s="77" t="inlineStr">
        <is>
          <t>P3</t>
        </is>
      </c>
      <c r="B4" s="77" t="inlineStr">
        <is>
          <t>JUPAS offer接受／院校註冊</t>
        </is>
      </c>
      <c r="C4" s="77" t="inlineStr">
        <is>
          <t>JUPAS 2026 Main Round、接受程序及院校註冊公開資料；報告22</t>
        </is>
      </c>
      <c r="D4" s="77" t="inlineStr">
        <is>
          <t>全體已接受offer／已繳費／完成註冊aggregate及統計時間點</t>
        </is>
      </c>
      <c r="E4" s="77" t="inlineStr">
        <is>
          <t>已核對公開頁的申請人與offer資料及接受程序；現有材料未提供可匹配的全體接受／註冊總數。</t>
        </is>
      </c>
      <c r="F4" s="77" t="inlineStr">
        <is>
          <t>再次檢查當年度官方資料；若仍無公開aggregate，標記未公布／未核實，不以offer代替接受或註冊。</t>
        </is>
      </c>
    </row>
    <row r="5" ht="30" customHeight="1">
      <c r="A5" s="78" t="inlineStr">
        <is>
          <t>P4</t>
        </is>
      </c>
      <c r="B5" s="78" t="inlineStr">
        <is>
          <t>SNDAS實際註冊及學科分布</t>
        </is>
      </c>
      <c r="C5" s="78" t="inlineStr">
        <is>
          <t>EDB 2026第五屆SNDAS公告及附件；報告23</t>
        </is>
      </c>
      <c r="D5" s="78" t="inlineStr">
        <is>
          <t>319名接受者實際註冊／入讀確認；接受offer學科分布</t>
        </is>
      </c>
      <c r="E5" s="78" t="inlineStr">
        <is>
          <t>有效提名、offer、接受數及比率已核對；接受offer不等於完成註冊。</t>
        </is>
      </c>
      <c r="F5" s="78" t="inlineStr">
        <is>
          <t>公告所述學科附件尚未抽取；須取得官方附件；實際入讀需另有開學後確認。</t>
        </is>
      </c>
    </row>
    <row r="6" ht="30" customHeight="1">
      <c r="A6" s="77" t="inlineStr">
        <is>
          <t>P5</t>
        </is>
      </c>
      <c r="B6" s="77" t="inlineStr">
        <is>
          <t>大學畢業生去向</t>
        </is>
      </c>
      <c r="C6" s="77" t="inlineStr">
        <is>
          <t>UGC及院校畢業生調查</t>
        </is>
      </c>
      <c r="D6" s="77" t="inlineStr">
        <is>
          <t>畢業年、樣本母體、回覆率、就業／升學定義、薪酬口徑</t>
        </is>
      </c>
      <c r="E6" s="77" t="inlineStr">
        <is>
          <t>已界定來源口徑差異；尚未完成跨院校／學科資料對表。</t>
        </is>
      </c>
      <c r="F6" s="77" t="inlineStr">
        <is>
          <t>先做口徑交叉表，再考慮描述性比較；不得直接製作未校正的校際就業排名。</t>
        </is>
      </c>
    </row>
    <row r="7" ht="30" customHeight="1">
      <c r="A7" s="78" t="inlineStr">
        <is>
          <t>P6</t>
        </is>
      </c>
      <c r="B7" s="78" t="inlineStr">
        <is>
          <t>課程級及非聯招升學結果</t>
        </is>
      </c>
      <c r="C7" s="78" t="inlineStr">
        <is>
          <t>JUPAS／院校／教育局公開資料</t>
        </is>
      </c>
      <c r="D7" s="78" t="inlineStr">
        <is>
          <t>課程要求、申請分類、offer／註冊結果、年度及本地／非本地身份口徑</t>
        </is>
      </c>
      <c r="E7" s="78" t="inlineStr">
        <is>
          <t>主要制度路徑已建底稿；課程層級完整對照尚未開始。</t>
        </is>
      </c>
      <c r="F7" s="78" t="inlineStr">
        <is>
          <t>只納入官方可追溯且母體一致的課程資料，不推算個人錄取機率。</t>
        </is>
      </c>
    </row>
    <row r="8" ht="30" customHeight="1">
      <c r="A8" s="77" t="inlineStr">
        <is>
          <t>P7</t>
        </is>
      </c>
      <c r="B8" s="77" t="inlineStr">
        <is>
          <t>全港跨學段供需與地區序列</t>
        </is>
      </c>
      <c r="C8" s="77" t="inlineStr">
        <is>
          <t>C&amp;SD、EDB及相關官方年度統計</t>
        </is>
      </c>
      <c r="D8" s="77" t="inlineStr">
        <is>
          <t>出生／適齡人口、學生數、班級與學額、校數及教師數，按年齡／地區／學年</t>
        </is>
      </c>
      <c r="E8" s="77" t="inlineStr">
        <is>
          <t>已有POA及局部供給研究；全學段同口徑時間序列尚未整合。</t>
        </is>
      </c>
      <c r="F8" s="77" t="inlineStr">
        <is>
          <t>先定義年齡群、學年及區域映射，再檢查分子／分母及年度修訂。</t>
        </is>
      </c>
    </row>
    <row r="9" ht="30" customHeight="1">
      <c r="A9" s="78" t="inlineStr">
        <is>
          <t>P8</t>
        </is>
      </c>
      <c r="B9" s="78" t="inlineStr">
        <is>
          <t>逐校實施與國際課程抽樣</t>
        </is>
      </c>
      <c r="C9" s="78" t="inlineStr">
        <is>
          <t>EDB及學校原始課程／收費／支援公布</t>
        </is>
      </c>
      <c r="D9" s="78" t="inlineStr">
        <is>
          <t>校本課程、收費、語言、支援服務、收生時序、國際課程升學要求</t>
        </is>
      </c>
      <c r="E9" s="78" t="inlineStr">
        <is>
          <t>制度框架已建立；逐校抽樣和跨課程可比資料不足。</t>
        </is>
      </c>
      <c r="F9" s="78" t="inlineStr">
        <is>
          <t>明示抽樣範圍和年份；學校自報結果只代表該校／該年度。</t>
        </is>
      </c>
    </row>
  </sheetData>
  <autoFilter ref="A1:F9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</cols>
  <sheetData>
    <row r="1" ht="32" customHeight="1">
      <c r="A1" s="16" t="inlineStr">
        <is>
          <t>學年</t>
        </is>
      </c>
      <c r="B1" s="16" t="inlineStr">
        <is>
          <t>UGC資助學士／研究生</t>
        </is>
      </c>
      <c r="C1" s="16" t="inlineStr">
        <is>
          <t>UGC資助副學位</t>
        </is>
      </c>
    </row>
    <row r="2">
      <c r="A2" s="18" t="inlineStr">
        <is>
          <t>2024/25</t>
        </is>
      </c>
      <c r="B2" s="18" t="n">
        <v>42100</v>
      </c>
      <c r="C2" s="18" t="n">
        <v>15040</v>
      </c>
    </row>
    <row r="3">
      <c r="A3" s="19" t="inlineStr">
        <is>
          <t>2025/26</t>
        </is>
      </c>
      <c r="B3" s="19" t="n">
        <v>44500</v>
      </c>
      <c r="C3" s="19" t="n">
        <v>15900</v>
      </c>
    </row>
    <row r="4">
      <c r="A4" s="18" t="inlineStr">
        <is>
          <t>2026/27</t>
        </is>
      </c>
      <c r="B4" s="18" t="n">
        <v>47000</v>
      </c>
      <c r="C4" s="18" t="n">
        <v>16800</v>
      </c>
    </row>
    <row r="5">
      <c r="A5" s="19" t="inlineStr">
        <is>
          <t>2027/28</t>
        </is>
      </c>
      <c r="B5" s="19" t="n">
        <v>49500</v>
      </c>
      <c r="C5" s="19" t="n">
        <v>17800</v>
      </c>
    </row>
    <row r="6">
      <c r="A6" s="18" t="n"/>
      <c r="B6" s="18" t="n"/>
      <c r="C6" s="18" t="n"/>
    </row>
    <row r="7">
      <c r="A7" s="19" t="n"/>
      <c r="B7" s="19" t="n"/>
      <c r="C7" s="19" t="n"/>
    </row>
    <row r="8">
      <c r="A8" s="18" t="inlineStr">
        <is>
          <t>注意</t>
        </is>
      </c>
      <c r="B8" s="18" t="inlineStr">
        <is>
          <t>只顯示符合相關資助資格的標準學費，不含住宿、生活費、自資課程或非本地學費。</t>
        </is>
      </c>
      <c r="C8" s="18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40" customWidth="1" min="2" max="2"/>
    <col width="14" customWidth="1" min="3" max="3"/>
    <col width="14" customWidth="1" min="4" max="4"/>
    <col width="35" customWidth="1" min="5" max="5"/>
    <col width="34" customWidth="1" min="6" max="6"/>
    <col width="72" customWidth="1" min="7" max="7"/>
  </cols>
  <sheetData>
    <row r="1" ht="30" customHeight="1">
      <c r="A1" s="16" t="inlineStr">
        <is>
          <t>年度／版本</t>
        </is>
      </c>
      <c r="B1" s="16" t="inlineStr">
        <is>
          <t>指標</t>
        </is>
      </c>
      <c r="C1" s="16" t="inlineStr">
        <is>
          <t>分子</t>
        </is>
      </c>
      <c r="D1" s="16" t="inlineStr">
        <is>
          <t>分母</t>
        </is>
      </c>
      <c r="E1" s="16" t="inlineStr">
        <is>
          <t>計算／官方值</t>
        </is>
      </c>
      <c r="F1" s="16" t="inlineStr">
        <is>
          <t>來源定位</t>
        </is>
      </c>
      <c r="G1" s="16" t="inlineStr">
        <is>
          <t>核對結果／限制</t>
        </is>
      </c>
    </row>
    <row r="2" ht="58" customHeight="1">
      <c r="A2" s="28" t="inlineStr">
        <is>
          <t>2025覆核後詳細表</t>
        </is>
      </c>
      <c r="B2" s="28" t="inlineStr">
        <is>
          <t>四核心科332A</t>
        </is>
      </c>
      <c r="C2" s="79" t="n">
        <v>19103</v>
      </c>
      <c r="D2" s="79" t="n">
        <v>42589</v>
      </c>
      <c r="E2" s="28" t="inlineStr">
        <is>
          <t>44.9%（HKEAA公布／複算）</t>
        </is>
      </c>
      <c r="F2" s="28" t="inlineStr">
        <is>
          <t>Table 3d</t>
        </is>
      </c>
      <c r="G2" s="28" t="inlineStr">
        <is>
          <t>分母是至少5科甲／乙類科目的日校考生，不是全部報考／應考者。</t>
        </is>
      </c>
    </row>
    <row r="3" ht="58" customHeight="1">
      <c r="A3" s="29" t="inlineStr">
        <is>
          <t>2025覆核後詳細表</t>
        </is>
      </c>
      <c r="B3" s="29" t="inlineStr">
        <is>
          <t>332A＋兩選修各Level 3+</t>
        </is>
      </c>
      <c r="C3" s="80" t="n">
        <v>16447</v>
      </c>
      <c r="D3" s="80" t="n">
        <v>42589</v>
      </c>
      <c r="E3" s="29" t="inlineStr">
        <is>
          <t>38.6%（由人數複算）</t>
        </is>
      </c>
      <c r="F3" s="29" t="inlineStr">
        <is>
          <t>Table 3d</t>
        </is>
      </c>
      <c r="G3" s="29" t="inlineStr">
        <is>
          <t>同分母；比核心332A少2,656人、6.3個百分點；不是大學錄取率。</t>
        </is>
      </c>
    </row>
    <row r="4" ht="58" customHeight="1">
      <c r="A4" s="28" t="inlineStr">
        <is>
          <t>2026結果發布</t>
        </is>
      </c>
      <c r="B4" s="28" t="inlineStr">
        <is>
          <t>日校考生報考</t>
        </is>
      </c>
      <c r="C4" s="79" t="n">
        <v>43534</v>
      </c>
      <c r="D4" s="79" t="n"/>
      <c r="E4" s="28" t="inlineStr">
        <is>
          <t>43,534人</t>
        </is>
      </c>
      <c r="F4" s="28" t="inlineStr">
        <is>
          <t>Results release</t>
        </is>
      </c>
      <c r="G4" s="28" t="inlineStr">
        <is>
          <t>附件一Table 1 No. entered=43,534；另列No. sat=43,347，兩者不可混用。</t>
        </is>
      </c>
    </row>
    <row r="5" ht="58" customHeight="1">
      <c r="A5" s="29" t="inlineStr">
        <is>
          <t>2026結果發布</t>
        </is>
      </c>
      <c r="B5" s="29" t="inlineStr">
        <is>
          <t>332A＋兩選修各Level 3+</t>
        </is>
      </c>
      <c r="C5" s="80" t="n">
        <v>15973</v>
      </c>
      <c r="D5" s="80" t="n">
        <v>43347</v>
      </c>
      <c r="E5" s="29" t="inlineStr">
        <is>
          <t>36.8%（15,973/43,347=36.849…%；與HKEAA公布值相符）</t>
        </is>
      </c>
      <c r="F5" s="29" t="inlineStr">
        <is>
          <t>Results release performance section + Annex 1 Table 1 No. sat</t>
        </is>
      </c>
      <c r="G5" s="29" t="inlineStr">
        <is>
          <t>精確分母已核實；2025 Table 3d母體不同，不可直接作嚴格同比。</t>
        </is>
      </c>
    </row>
    <row r="6" ht="58" customHeight="1">
      <c r="A6" s="29" t="inlineStr">
        <is>
          <t>2026結果發布</t>
        </is>
      </c>
      <c r="B6" s="29" t="inlineStr">
        <is>
          <t>日校考生實際應考</t>
        </is>
      </c>
      <c r="C6" s="80" t="n">
        <v>43347</v>
      </c>
      <c r="D6" s="80" t="n"/>
      <c r="E6" s="29" t="inlineStr">
        <is>
          <t>43,347人</t>
        </is>
      </c>
      <c r="F6" s="29" t="inlineStr">
        <is>
          <t>Annex 1 Table 1: No. sat</t>
        </is>
      </c>
      <c r="G6" s="29" t="inlineStr">
        <is>
          <t>與No. entered=43,534區分。</t>
        </is>
      </c>
    </row>
    <row r="7" ht="58" customHeight="1">
      <c r="A7" s="29" t="inlineStr">
        <is>
          <t>2026結果發布</t>
        </is>
      </c>
      <c r="B7" s="29" t="inlineStr">
        <is>
          <t>達副學位最低成績要求（30,977人）</t>
        </is>
      </c>
      <c r="C7" s="80" t="n">
        <v>30977</v>
      </c>
      <c r="D7" s="80" t="n"/>
      <c r="E7" s="29" t="inlineStr">
        <is>
          <t>73.2%（HKEAA公布；分母確切人數未列）</t>
        </is>
      </c>
      <c r="F7" s="29" t="inlineStr">
        <is>
          <t>Results release performance section；英文原文scope</t>
        </is>
      </c>
      <c r="G7" s="29" t="inlineStr">
        <is>
          <t>英文新聞稿指母體為應考相關入學要求科目的日校考生子群；全體No. sat=43,347不是此比率分母。</t>
        </is>
      </c>
    </row>
    <row r="8" ht="82" customHeight="1">
      <c r="A8" s="28" t="inlineStr">
        <is>
          <t>2026分母演算（非官方）</t>
        </is>
      </c>
      <c r="B8" s="28" t="inlineStr">
        <is>
          <t>73.2%一位小數四捨五入可能分母範圍</t>
        </is>
      </c>
      <c r="C8" s="79" t="n">
        <v>30977</v>
      </c>
      <c r="D8" s="79" t="inlineStr">
        <is>
          <t>42,290–42,347</t>
        </is>
      </c>
      <c r="E8" s="28" t="inlineStr">
        <is>
          <t>數學推算；不是官方確數</t>
        </is>
      </c>
      <c r="F8" s="28" t="inlineStr">
        <is>
          <t>假設73.2%按一般規則四捨五入至一位小數</t>
        </is>
      </c>
      <c r="G8" s="28" t="inlineStr">
        <is>
          <t>僅作交叉核對線索；「約73.2%」未必採此精確規則，禁止當作已核實分母或寫入核心數據。</t>
        </is>
      </c>
    </row>
    <row r="9" ht="12" customHeight="1"/>
    <row r="10" ht="12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4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72" customWidth="1" min="15" max="15"/>
  </cols>
  <sheetData>
    <row r="1" ht="32" customHeight="1">
      <c r="A1" s="10" t="inlineStr">
        <is>
          <t>source_id</t>
        </is>
      </c>
      <c r="B1" s="10" t="inlineStr">
        <is>
          <t>source_document</t>
        </is>
      </c>
      <c r="C1" s="10" t="inlineStr">
        <is>
          <t>table_id</t>
        </is>
      </c>
      <c r="D1" s="10" t="inlineStr">
        <is>
          <t>printed_page</t>
        </is>
      </c>
      <c r="E1" s="10" t="inlineStr">
        <is>
          <t>pdf_page</t>
        </is>
      </c>
      <c r="F1" s="10" t="inlineStr">
        <is>
          <t>reference_period</t>
        </is>
      </c>
      <c r="G1" s="10" t="inlineStr">
        <is>
          <t>school_sector</t>
        </is>
      </c>
      <c r="H1" s="10" t="inlineStr">
        <is>
          <t>activity_status</t>
        </is>
      </c>
      <c r="I1" s="10" t="inlineStr">
        <is>
          <t>programme_type</t>
        </is>
      </c>
      <c r="J1" s="10" t="inlineStr">
        <is>
          <t>place_of_study</t>
        </is>
      </c>
      <c r="K1" s="10" t="inlineStr">
        <is>
          <t>count_reported</t>
        </is>
      </c>
      <c r="L1" s="10" t="inlineStr">
        <is>
          <t>proportion_reported</t>
        </is>
      </c>
      <c r="M1" s="10" t="inlineStr">
        <is>
          <t>denominator</t>
        </is>
      </c>
      <c r="N1" s="10" t="inlineStr">
        <is>
          <t>cell_status</t>
        </is>
      </c>
      <c r="O1" t="inlineStr">
        <is>
          <t>notes</t>
        </is>
      </c>
    </row>
    <row r="2" ht="33" customHeight="1">
      <c r="A2" s="15" t="inlineStr">
        <is>
          <t>EDB-S6-2021</t>
        </is>
      </c>
      <c r="B2" t="inlineStr">
        <is>
          <t>2021 Secondary 6 Students’ Pathway Survey</t>
        </is>
      </c>
      <c r="C2" t="inlineStr">
        <is>
          <t>2.1</t>
        </is>
      </c>
      <c r="D2" t="inlineStr">
        <is>
          <t>6</t>
        </is>
      </c>
      <c r="E2" t="inlineStr">
        <is>
          <t>11</t>
        </is>
      </c>
      <c r="F2" t="inlineStr">
        <is>
          <t>2021-10</t>
        </is>
      </c>
      <c r="G2" t="inlineStr">
        <is>
          <t>全部有回應者</t>
        </is>
      </c>
      <c r="H2" t="inlineStr">
        <is>
          <t>全日制求學</t>
        </is>
      </c>
      <c r="K2" t="inlineStr">
        <is>
          <t>39531</t>
        </is>
      </c>
      <c r="L2" t="inlineStr">
        <is>
          <t>93.7</t>
        </is>
      </c>
      <c r="M2" t="inlineStr">
        <is>
          <t>42204</t>
        </is>
      </c>
      <c r="N2" t="inlineStr">
        <is>
          <t>reported</t>
        </is>
      </c>
      <c r="O2" t="inlineStr">
        <is>
          <t>比例分母為該學校類別的有回應畢業生；參照期為10月。</t>
        </is>
      </c>
    </row>
    <row r="3" ht="33" customHeight="1">
      <c r="A3" s="15" t="inlineStr">
        <is>
          <t>EDB-S6-2021</t>
        </is>
      </c>
      <c r="B3" t="inlineStr">
        <is>
          <t>2021 Secondary 6 Students’ Pathway Survey</t>
        </is>
      </c>
      <c r="C3" t="inlineStr">
        <is>
          <t>2.1</t>
        </is>
      </c>
      <c r="D3" t="inlineStr">
        <is>
          <t>6</t>
        </is>
      </c>
      <c r="E3" t="inlineStr">
        <is>
          <t>11</t>
        </is>
      </c>
      <c r="F3" t="inlineStr">
        <is>
          <t>2021-10</t>
        </is>
      </c>
      <c r="G3" t="inlineStr">
        <is>
          <t>全部有回應者</t>
        </is>
      </c>
      <c r="H3" t="inlineStr">
        <is>
          <t>全職工作</t>
        </is>
      </c>
      <c r="K3" t="inlineStr">
        <is>
          <t>1168</t>
        </is>
      </c>
      <c r="L3" t="inlineStr">
        <is>
          <t>2.8</t>
        </is>
      </c>
      <c r="M3" t="inlineStr">
        <is>
          <t>42204</t>
        </is>
      </c>
      <c r="N3" t="inlineStr">
        <is>
          <t>reported</t>
        </is>
      </c>
      <c r="O3" t="inlineStr">
        <is>
          <t>比例分母為該學校類別的有回應畢業生；參照期為10月。</t>
        </is>
      </c>
    </row>
    <row r="4" ht="33" customHeight="1">
      <c r="A4" s="15" t="inlineStr">
        <is>
          <t>EDB-S6-2021</t>
        </is>
      </c>
      <c r="B4" t="inlineStr">
        <is>
          <t>2021 Secondary 6 Students’ Pathway Survey</t>
        </is>
      </c>
      <c r="C4" t="inlineStr">
        <is>
          <t>2.1</t>
        </is>
      </c>
      <c r="D4" t="inlineStr">
        <is>
          <t>6</t>
        </is>
      </c>
      <c r="E4" t="inlineStr">
        <is>
          <t>11</t>
        </is>
      </c>
      <c r="F4" t="inlineStr">
        <is>
          <t>2021-10</t>
        </is>
      </c>
      <c r="G4" t="inlineStr">
        <is>
          <t>全部有回應者</t>
        </is>
      </c>
      <c r="H4" t="inlineStr">
        <is>
          <t>既非工作亦非求學</t>
        </is>
      </c>
      <c r="K4" t="inlineStr">
        <is>
          <t>524</t>
        </is>
      </c>
      <c r="L4" t="inlineStr">
        <is>
          <t>1.2</t>
        </is>
      </c>
      <c r="M4" t="inlineStr">
        <is>
          <t>42204</t>
        </is>
      </c>
      <c r="N4" t="inlineStr">
        <is>
          <t>reported</t>
        </is>
      </c>
      <c r="O4" t="inlineStr">
        <is>
          <t>比例分母為該學校類別的有回應畢業生；參照期為10月。</t>
        </is>
      </c>
    </row>
    <row r="5" ht="33" customHeight="1">
      <c r="A5" s="15" t="inlineStr">
        <is>
          <t>EDB-S6-2021</t>
        </is>
      </c>
      <c r="B5" t="inlineStr">
        <is>
          <t>2021 Secondary 6 Students’ Pathway Survey</t>
        </is>
      </c>
      <c r="C5" t="inlineStr">
        <is>
          <t>2.1</t>
        </is>
      </c>
      <c r="D5" t="inlineStr">
        <is>
          <t>6</t>
        </is>
      </c>
      <c r="E5" t="inlineStr">
        <is>
          <t>11</t>
        </is>
      </c>
      <c r="F5" t="inlineStr">
        <is>
          <t>2021-10</t>
        </is>
      </c>
      <c r="G5" t="inlineStr">
        <is>
          <t>全部有回應者</t>
        </is>
      </c>
      <c r="H5" t="inlineStr">
        <is>
          <t>總數／有回應畢業生</t>
        </is>
      </c>
      <c r="K5" t="inlineStr">
        <is>
          <t>42204</t>
        </is>
      </c>
      <c r="L5" t="inlineStr">
        <is>
          <t>100.0</t>
        </is>
      </c>
      <c r="M5" t="inlineStr">
        <is>
          <t>42204</t>
        </is>
      </c>
      <c r="N5" t="inlineStr">
        <is>
          <t>reported</t>
        </is>
      </c>
      <c r="O5" t="inlineStr">
        <is>
          <t>EDB原表總數；只涵蓋有回應畢業生。</t>
        </is>
      </c>
    </row>
    <row r="6" ht="33" customHeight="1">
      <c r="A6" s="15" t="inlineStr">
        <is>
          <t>EDB-S6-2021</t>
        </is>
      </c>
      <c r="B6" t="inlineStr">
        <is>
          <t>2021 Secondary 6 Students’ Pathway Survey</t>
        </is>
      </c>
      <c r="C6" t="inlineStr">
        <is>
          <t>2.1</t>
        </is>
      </c>
      <c r="D6" t="inlineStr">
        <is>
          <t>6</t>
        </is>
      </c>
      <c r="E6" t="inlineStr">
        <is>
          <t>11</t>
        </is>
      </c>
      <c r="F6" t="inlineStr">
        <is>
          <t>2021-10</t>
        </is>
      </c>
      <c r="G6" t="inlineStr">
        <is>
          <t>全部有回應者</t>
        </is>
      </c>
      <c r="H6" t="inlineStr">
        <is>
          <t>部分時間工作／求學</t>
        </is>
      </c>
      <c r="K6" t="inlineStr">
        <is>
          <t>981</t>
        </is>
      </c>
      <c r="L6" t="inlineStr">
        <is>
          <t>2.3</t>
        </is>
      </c>
      <c r="M6" t="inlineStr">
        <is>
          <t>42204</t>
        </is>
      </c>
      <c r="N6" t="inlineStr">
        <is>
          <t>reported</t>
        </is>
      </c>
      <c r="O6" t="inlineStr">
        <is>
          <t>比例分母為該學校類別的有回應畢業生；參照期為10月。「部分時間工作／求學」為合併分類。</t>
        </is>
      </c>
    </row>
    <row r="7" ht="33" customHeight="1">
      <c r="A7" s="15" t="inlineStr">
        <is>
          <t>EDB-S6-2021</t>
        </is>
      </c>
      <c r="B7" t="inlineStr">
        <is>
          <t>2021 Secondary 6 Students’ Pathway Survey</t>
        </is>
      </c>
      <c r="C7" t="inlineStr">
        <is>
          <t>2.1</t>
        </is>
      </c>
      <c r="D7" t="inlineStr">
        <is>
          <t>6</t>
        </is>
      </c>
      <c r="E7" t="inlineStr">
        <is>
          <t>11</t>
        </is>
      </c>
      <c r="F7" t="inlineStr">
        <is>
          <t>2021-10</t>
        </is>
      </c>
      <c r="G7" t="inlineStr">
        <is>
          <t>官立</t>
        </is>
      </c>
      <c r="H7" t="inlineStr">
        <is>
          <t>全日制求學</t>
        </is>
      </c>
      <c r="K7" t="inlineStr">
        <is>
          <t>2887</t>
        </is>
      </c>
      <c r="L7" t="inlineStr">
        <is>
          <t>93.9</t>
        </is>
      </c>
      <c r="M7" t="inlineStr">
        <is>
          <t>3074</t>
        </is>
      </c>
      <c r="N7" t="inlineStr">
        <is>
          <t>reported</t>
        </is>
      </c>
      <c r="O7" t="inlineStr">
        <is>
          <t>比例分母為該學校類別的有回應畢業生；參照期為10月。</t>
        </is>
      </c>
    </row>
    <row r="8" ht="33" customHeight="1">
      <c r="A8" s="15" t="inlineStr">
        <is>
          <t>EDB-S6-2021</t>
        </is>
      </c>
      <c r="B8" t="inlineStr">
        <is>
          <t>2021 Secondary 6 Students’ Pathway Survey</t>
        </is>
      </c>
      <c r="C8" t="inlineStr">
        <is>
          <t>2.1</t>
        </is>
      </c>
      <c r="D8" t="inlineStr">
        <is>
          <t>6</t>
        </is>
      </c>
      <c r="E8" t="inlineStr">
        <is>
          <t>11</t>
        </is>
      </c>
      <c r="F8" t="inlineStr">
        <is>
          <t>2021-10</t>
        </is>
      </c>
      <c r="G8" t="inlineStr">
        <is>
          <t>官立</t>
        </is>
      </c>
      <c r="H8" t="inlineStr">
        <is>
          <t>全職工作</t>
        </is>
      </c>
      <c r="K8" t="inlineStr">
        <is>
          <t>63</t>
        </is>
      </c>
      <c r="L8" t="inlineStr">
        <is>
          <t>2.0</t>
        </is>
      </c>
      <c r="M8" t="inlineStr">
        <is>
          <t>3074</t>
        </is>
      </c>
      <c r="N8" t="inlineStr">
        <is>
          <t>reported</t>
        </is>
      </c>
      <c r="O8" t="inlineStr">
        <is>
          <t>比例分母為該學校類別的有回應畢業生；參照期為10月。</t>
        </is>
      </c>
    </row>
    <row r="9" ht="33" customHeight="1">
      <c r="A9" s="15" t="inlineStr">
        <is>
          <t>EDB-S6-2021</t>
        </is>
      </c>
      <c r="B9" t="inlineStr">
        <is>
          <t>2021 Secondary 6 Students’ Pathway Survey</t>
        </is>
      </c>
      <c r="C9" t="inlineStr">
        <is>
          <t>2.1</t>
        </is>
      </c>
      <c r="D9" t="inlineStr">
        <is>
          <t>6</t>
        </is>
      </c>
      <c r="E9" t="inlineStr">
        <is>
          <t>11</t>
        </is>
      </c>
      <c r="F9" t="inlineStr">
        <is>
          <t>2021-10</t>
        </is>
      </c>
      <c r="G9" t="inlineStr">
        <is>
          <t>官立</t>
        </is>
      </c>
      <c r="H9" t="inlineStr">
        <is>
          <t>既非工作亦非求學</t>
        </is>
      </c>
      <c r="K9" t="inlineStr">
        <is>
          <t>26</t>
        </is>
      </c>
      <c r="L9" t="inlineStr">
        <is>
          <t>0.8</t>
        </is>
      </c>
      <c r="M9" t="inlineStr">
        <is>
          <t>3074</t>
        </is>
      </c>
      <c r="N9" t="inlineStr">
        <is>
          <t>reported</t>
        </is>
      </c>
      <c r="O9" t="inlineStr">
        <is>
          <t>比例分母為該學校類別的有回應畢業生；參照期為10月。</t>
        </is>
      </c>
    </row>
    <row r="10" ht="33" customHeight="1">
      <c r="A10" s="15" t="inlineStr">
        <is>
          <t>EDB-S6-2021</t>
        </is>
      </c>
      <c r="B10" t="inlineStr">
        <is>
          <t>2021 Secondary 6 Students’ Pathway Survey</t>
        </is>
      </c>
      <c r="C10" t="inlineStr">
        <is>
          <t>2.1</t>
        </is>
      </c>
      <c r="D10" t="inlineStr">
        <is>
          <t>6</t>
        </is>
      </c>
      <c r="E10" t="inlineStr">
        <is>
          <t>11</t>
        </is>
      </c>
      <c r="F10" t="inlineStr">
        <is>
          <t>2021-10</t>
        </is>
      </c>
      <c r="G10" t="inlineStr">
        <is>
          <t>官立</t>
        </is>
      </c>
      <c r="H10" t="inlineStr">
        <is>
          <t>總數／有回應畢業生</t>
        </is>
      </c>
      <c r="K10" t="inlineStr">
        <is>
          <t>3074</t>
        </is>
      </c>
      <c r="L10" t="inlineStr">
        <is>
          <t>100.0</t>
        </is>
      </c>
      <c r="M10" t="inlineStr">
        <is>
          <t>3074</t>
        </is>
      </c>
      <c r="N10" t="inlineStr">
        <is>
          <t>reported</t>
        </is>
      </c>
      <c r="O10" t="inlineStr">
        <is>
          <t>EDB原表總數；只涵蓋有回應畢業生。</t>
        </is>
      </c>
    </row>
    <row r="11" ht="33" customHeight="1">
      <c r="A11" s="15" t="inlineStr">
        <is>
          <t>EDB-S6-2021</t>
        </is>
      </c>
      <c r="B11" t="inlineStr">
        <is>
          <t>2021 Secondary 6 Students’ Pathway Survey</t>
        </is>
      </c>
      <c r="C11" t="inlineStr">
        <is>
          <t>2.1</t>
        </is>
      </c>
      <c r="D11" t="inlineStr">
        <is>
          <t>6</t>
        </is>
      </c>
      <c r="E11" t="inlineStr">
        <is>
          <t>11</t>
        </is>
      </c>
      <c r="F11" t="inlineStr">
        <is>
          <t>2021-10</t>
        </is>
      </c>
      <c r="G11" t="inlineStr">
        <is>
          <t>官立</t>
        </is>
      </c>
      <c r="H11" t="inlineStr">
        <is>
          <t>部分時間工作／求學</t>
        </is>
      </c>
      <c r="K11" t="inlineStr">
        <is>
          <t>98</t>
        </is>
      </c>
      <c r="L11" t="inlineStr">
        <is>
          <t>3.2</t>
        </is>
      </c>
      <c r="M11" t="inlineStr">
        <is>
          <t>3074</t>
        </is>
      </c>
      <c r="N11" t="inlineStr">
        <is>
          <t>reported</t>
        </is>
      </c>
      <c r="O11" t="inlineStr">
        <is>
          <t>比例分母為該學校類別的有回應畢業生；參照期為10月。「部分時間工作／求學」為合併分類。</t>
        </is>
      </c>
    </row>
    <row r="12" ht="33" customHeight="1">
      <c r="A12" s="15" t="inlineStr">
        <is>
          <t>EDB-S6-2021</t>
        </is>
      </c>
      <c r="B12" t="inlineStr">
        <is>
          <t>2021 Secondary 6 Students’ Pathway Survey</t>
        </is>
      </c>
      <c r="C12" t="inlineStr">
        <is>
          <t>2.1</t>
        </is>
      </c>
      <c r="D12" t="inlineStr">
        <is>
          <t>6</t>
        </is>
      </c>
      <c r="E12" t="inlineStr">
        <is>
          <t>11</t>
        </is>
      </c>
      <c r="F12" t="inlineStr">
        <is>
          <t>2021-10</t>
        </is>
      </c>
      <c r="G12" t="inlineStr">
        <is>
          <t>直資／本地私立</t>
        </is>
      </c>
      <c r="H12" t="inlineStr">
        <is>
          <t>全日制求學</t>
        </is>
      </c>
      <c r="K12" t="inlineStr">
        <is>
          <t>5580</t>
        </is>
      </c>
      <c r="L12" t="inlineStr">
        <is>
          <t>92.0</t>
        </is>
      </c>
      <c r="M12" t="inlineStr">
        <is>
          <t>6064</t>
        </is>
      </c>
      <c r="N12" t="inlineStr">
        <is>
          <t>reported</t>
        </is>
      </c>
      <c r="O12" t="inlineStr">
        <is>
          <t>比例分母為該學校類別的有回應畢業生；參照期為10月。</t>
        </is>
      </c>
    </row>
    <row r="13" ht="33" customHeight="1">
      <c r="A13" s="15" t="inlineStr">
        <is>
          <t>EDB-S6-2021</t>
        </is>
      </c>
      <c r="B13" t="inlineStr">
        <is>
          <t>2021 Secondary 6 Students’ Pathway Survey</t>
        </is>
      </c>
      <c r="C13" t="inlineStr">
        <is>
          <t>2.1</t>
        </is>
      </c>
      <c r="D13" t="inlineStr">
        <is>
          <t>6</t>
        </is>
      </c>
      <c r="E13" t="inlineStr">
        <is>
          <t>11</t>
        </is>
      </c>
      <c r="F13" t="inlineStr">
        <is>
          <t>2021-10</t>
        </is>
      </c>
      <c r="G13" t="inlineStr">
        <is>
          <t>直資／本地私立</t>
        </is>
      </c>
      <c r="H13" t="inlineStr">
        <is>
          <t>全職工作</t>
        </is>
      </c>
      <c r="K13" t="inlineStr">
        <is>
          <t>233</t>
        </is>
      </c>
      <c r="L13" t="inlineStr">
        <is>
          <t>3.8</t>
        </is>
      </c>
      <c r="M13" t="inlineStr">
        <is>
          <t>6064</t>
        </is>
      </c>
      <c r="N13" t="inlineStr">
        <is>
          <t>reported</t>
        </is>
      </c>
      <c r="O13" t="inlineStr">
        <is>
          <t>比例分母為該學校類別的有回應畢業生；參照期為10月。</t>
        </is>
      </c>
    </row>
    <row r="14" ht="33" customHeight="1">
      <c r="A14" s="15" t="inlineStr">
        <is>
          <t>EDB-S6-2021</t>
        </is>
      </c>
      <c r="B14" t="inlineStr">
        <is>
          <t>2021 Secondary 6 Students’ Pathway Survey</t>
        </is>
      </c>
      <c r="C14" t="inlineStr">
        <is>
          <t>2.1</t>
        </is>
      </c>
      <c r="D14" t="inlineStr">
        <is>
          <t>6</t>
        </is>
      </c>
      <c r="E14" t="inlineStr">
        <is>
          <t>11</t>
        </is>
      </c>
      <c r="F14" t="inlineStr">
        <is>
          <t>2021-10</t>
        </is>
      </c>
      <c r="G14" t="inlineStr">
        <is>
          <t>直資／本地私立</t>
        </is>
      </c>
      <c r="H14" t="inlineStr">
        <is>
          <t>既非工作亦非求學</t>
        </is>
      </c>
      <c r="K14" t="inlineStr">
        <is>
          <t>112</t>
        </is>
      </c>
      <c r="L14" t="inlineStr">
        <is>
          <t>1.8</t>
        </is>
      </c>
      <c r="M14" t="inlineStr">
        <is>
          <t>6064</t>
        </is>
      </c>
      <c r="N14" t="inlineStr">
        <is>
          <t>reported</t>
        </is>
      </c>
      <c r="O14" t="inlineStr">
        <is>
          <t>比例分母為該學校類別的有回應畢業生；參照期為10月。</t>
        </is>
      </c>
    </row>
    <row r="15" ht="33" customHeight="1">
      <c r="A15" s="15" t="inlineStr">
        <is>
          <t>EDB-S6-2021</t>
        </is>
      </c>
      <c r="B15" t="inlineStr">
        <is>
          <t>2021 Secondary 6 Students’ Pathway Survey</t>
        </is>
      </c>
      <c r="C15" t="inlineStr">
        <is>
          <t>2.1</t>
        </is>
      </c>
      <c r="D15" t="inlineStr">
        <is>
          <t>6</t>
        </is>
      </c>
      <c r="E15" t="inlineStr">
        <is>
          <t>11</t>
        </is>
      </c>
      <c r="F15" t="inlineStr">
        <is>
          <t>2021-10</t>
        </is>
      </c>
      <c r="G15" t="inlineStr">
        <is>
          <t>直資／本地私立</t>
        </is>
      </c>
      <c r="H15" t="inlineStr">
        <is>
          <t>總數／有回應畢業生</t>
        </is>
      </c>
      <c r="K15" t="inlineStr">
        <is>
          <t>6064</t>
        </is>
      </c>
      <c r="L15" t="inlineStr">
        <is>
          <t>100.0</t>
        </is>
      </c>
      <c r="M15" t="inlineStr">
        <is>
          <t>6064</t>
        </is>
      </c>
      <c r="N15" t="inlineStr">
        <is>
          <t>reported</t>
        </is>
      </c>
      <c r="O15" t="inlineStr">
        <is>
          <t>EDB原表總數；只涵蓋有回應畢業生。</t>
        </is>
      </c>
    </row>
    <row r="16" ht="33" customHeight="1">
      <c r="A16" s="15" t="inlineStr">
        <is>
          <t>EDB-S6-2021</t>
        </is>
      </c>
      <c r="B16" t="inlineStr">
        <is>
          <t>2021 Secondary 6 Students’ Pathway Survey</t>
        </is>
      </c>
      <c r="C16" t="inlineStr">
        <is>
          <t>2.1</t>
        </is>
      </c>
      <c r="D16" t="inlineStr">
        <is>
          <t>6</t>
        </is>
      </c>
      <c r="E16" t="inlineStr">
        <is>
          <t>11</t>
        </is>
      </c>
      <c r="F16" t="inlineStr">
        <is>
          <t>2021-10</t>
        </is>
      </c>
      <c r="G16" t="inlineStr">
        <is>
          <t>直資／本地私立</t>
        </is>
      </c>
      <c r="H16" t="inlineStr">
        <is>
          <t>部分時間工作／求學</t>
        </is>
      </c>
      <c r="K16" t="inlineStr">
        <is>
          <t>139</t>
        </is>
      </c>
      <c r="L16" t="inlineStr">
        <is>
          <t>2.3</t>
        </is>
      </c>
      <c r="M16" t="inlineStr">
        <is>
          <t>6064</t>
        </is>
      </c>
      <c r="N16" t="inlineStr">
        <is>
          <t>reported</t>
        </is>
      </c>
      <c r="O16" t="inlineStr">
        <is>
          <t>比例分母為該學校類別的有回應畢業生；參照期為10月。「部分時間工作／求學」為合併分類。</t>
        </is>
      </c>
    </row>
    <row r="17" ht="33" customHeight="1">
      <c r="A17" s="15" t="inlineStr">
        <is>
          <t>EDB-S6-2021</t>
        </is>
      </c>
      <c r="B17" t="inlineStr">
        <is>
          <t>2021 Secondary 6 Students’ Pathway Survey</t>
        </is>
      </c>
      <c r="C17" t="inlineStr">
        <is>
          <t>2.1</t>
        </is>
      </c>
      <c r="D17" t="inlineStr">
        <is>
          <t>6</t>
        </is>
      </c>
      <c r="E17" t="inlineStr">
        <is>
          <t>11</t>
        </is>
      </c>
      <c r="F17" t="inlineStr">
        <is>
          <t>2021-10</t>
        </is>
      </c>
      <c r="G17" t="inlineStr">
        <is>
          <t>資助／按位津貼</t>
        </is>
      </c>
      <c r="H17" t="inlineStr">
        <is>
          <t>全日制求學</t>
        </is>
      </c>
      <c r="K17" t="inlineStr">
        <is>
          <t>31064</t>
        </is>
      </c>
      <c r="L17" t="inlineStr">
        <is>
          <t>93.9</t>
        </is>
      </c>
      <c r="M17" t="inlineStr">
        <is>
          <t>33066</t>
        </is>
      </c>
      <c r="N17" t="inlineStr">
        <is>
          <t>reported</t>
        </is>
      </c>
      <c r="O17" t="inlineStr">
        <is>
          <t>比例分母為該學校類別的有回應畢業生；參照期為10月。</t>
        </is>
      </c>
    </row>
    <row r="18" ht="33" customHeight="1">
      <c r="A18" s="15" t="inlineStr">
        <is>
          <t>EDB-S6-2021</t>
        </is>
      </c>
      <c r="B18" t="inlineStr">
        <is>
          <t>2021 Secondary 6 Students’ Pathway Survey</t>
        </is>
      </c>
      <c r="C18" t="inlineStr">
        <is>
          <t>2.1</t>
        </is>
      </c>
      <c r="D18" t="inlineStr">
        <is>
          <t>6</t>
        </is>
      </c>
      <c r="E18" t="inlineStr">
        <is>
          <t>11</t>
        </is>
      </c>
      <c r="F18" t="inlineStr">
        <is>
          <t>2021-10</t>
        </is>
      </c>
      <c r="G18" t="inlineStr">
        <is>
          <t>資助／按位津貼</t>
        </is>
      </c>
      <c r="H18" t="inlineStr">
        <is>
          <t>全職工作</t>
        </is>
      </c>
      <c r="K18" t="inlineStr">
        <is>
          <t>872</t>
        </is>
      </c>
      <c r="L18" t="inlineStr">
        <is>
          <t>2.6</t>
        </is>
      </c>
      <c r="M18" t="inlineStr">
        <is>
          <t>33066</t>
        </is>
      </c>
      <c r="N18" t="inlineStr">
        <is>
          <t>reported</t>
        </is>
      </c>
      <c r="O18" t="inlineStr">
        <is>
          <t>比例分母為該學校類別的有回應畢業生；參照期為10月。</t>
        </is>
      </c>
    </row>
    <row r="19" ht="33" customHeight="1">
      <c r="A19" s="15" t="inlineStr">
        <is>
          <t>EDB-S6-2021</t>
        </is>
      </c>
      <c r="B19" t="inlineStr">
        <is>
          <t>2021 Secondary 6 Students’ Pathway Survey</t>
        </is>
      </c>
      <c r="C19" t="inlineStr">
        <is>
          <t>2.1</t>
        </is>
      </c>
      <c r="D19" t="inlineStr">
        <is>
          <t>6</t>
        </is>
      </c>
      <c r="E19" t="inlineStr">
        <is>
          <t>11</t>
        </is>
      </c>
      <c r="F19" t="inlineStr">
        <is>
          <t>2021-10</t>
        </is>
      </c>
      <c r="G19" t="inlineStr">
        <is>
          <t>資助／按位津貼</t>
        </is>
      </c>
      <c r="H19" t="inlineStr">
        <is>
          <t>既非工作亦非求學</t>
        </is>
      </c>
      <c r="K19" t="inlineStr">
        <is>
          <t>386</t>
        </is>
      </c>
      <c r="L19" t="inlineStr">
        <is>
          <t>1.2</t>
        </is>
      </c>
      <c r="M19" t="inlineStr">
        <is>
          <t>33066</t>
        </is>
      </c>
      <c r="N19" t="inlineStr">
        <is>
          <t>reported</t>
        </is>
      </c>
      <c r="O19" t="inlineStr">
        <is>
          <t>比例分母為該學校類別的有回應畢業生；參照期為10月。</t>
        </is>
      </c>
    </row>
    <row r="20" ht="33" customHeight="1">
      <c r="A20" s="15" t="inlineStr">
        <is>
          <t>EDB-S6-2021</t>
        </is>
      </c>
      <c r="B20" t="inlineStr">
        <is>
          <t>2021 Secondary 6 Students’ Pathway Survey</t>
        </is>
      </c>
      <c r="C20" t="inlineStr">
        <is>
          <t>2.1</t>
        </is>
      </c>
      <c r="D20" t="inlineStr">
        <is>
          <t>6</t>
        </is>
      </c>
      <c r="E20" t="inlineStr">
        <is>
          <t>11</t>
        </is>
      </c>
      <c r="F20" t="inlineStr">
        <is>
          <t>2021-10</t>
        </is>
      </c>
      <c r="G20" t="inlineStr">
        <is>
          <t>資助／按位津貼</t>
        </is>
      </c>
      <c r="H20" t="inlineStr">
        <is>
          <t>總數／有回應畢業生</t>
        </is>
      </c>
      <c r="K20" t="inlineStr">
        <is>
          <t>33066</t>
        </is>
      </c>
      <c r="L20" t="inlineStr">
        <is>
          <t>100.0</t>
        </is>
      </c>
      <c r="M20" t="inlineStr">
        <is>
          <t>33066</t>
        </is>
      </c>
      <c r="N20" t="inlineStr">
        <is>
          <t>reported</t>
        </is>
      </c>
      <c r="O20" t="inlineStr">
        <is>
          <t>EDB原表總數；只涵蓋有回應畢業生。</t>
        </is>
      </c>
    </row>
    <row r="21" ht="33" customHeight="1">
      <c r="A21" s="15" t="inlineStr">
        <is>
          <t>EDB-S6-2021</t>
        </is>
      </c>
      <c r="B21" t="inlineStr">
        <is>
          <t>2021 Secondary 6 Students’ Pathway Survey</t>
        </is>
      </c>
      <c r="C21" t="inlineStr">
        <is>
          <t>2.1</t>
        </is>
      </c>
      <c r="D21" t="inlineStr">
        <is>
          <t>6</t>
        </is>
      </c>
      <c r="E21" t="inlineStr">
        <is>
          <t>11</t>
        </is>
      </c>
      <c r="F21" t="inlineStr">
        <is>
          <t>2021-10</t>
        </is>
      </c>
      <c r="G21" t="inlineStr">
        <is>
          <t>資助／按位津貼</t>
        </is>
      </c>
      <c r="H21" t="inlineStr">
        <is>
          <t>部分時間工作／求學</t>
        </is>
      </c>
      <c r="K21" t="inlineStr">
        <is>
          <t>744</t>
        </is>
      </c>
      <c r="L21" t="inlineStr">
        <is>
          <t>2.3</t>
        </is>
      </c>
      <c r="M21" t="inlineStr">
        <is>
          <t>33066</t>
        </is>
      </c>
      <c r="N21" t="inlineStr">
        <is>
          <t>reported</t>
        </is>
      </c>
      <c r="O21" t="inlineStr">
        <is>
          <t>比例分母為該學校類別的有回應畢業生；參照期為10月。「部分時間工作／求學」為合併分類。</t>
        </is>
      </c>
    </row>
    <row r="22">
      <c r="A22" s="15" t="inlineStr">
        <is>
          <t>EDB-S6-2022</t>
        </is>
      </c>
      <c r="B22" t="inlineStr">
        <is>
          <t>2022 Secondary 6 Students’ Pathway Survey</t>
        </is>
      </c>
      <c r="C22" t="inlineStr">
        <is>
          <t>2.1</t>
        </is>
      </c>
      <c r="D22" t="inlineStr">
        <is>
          <t>6</t>
        </is>
      </c>
      <c r="E22" t="inlineStr">
        <is>
          <t>11</t>
        </is>
      </c>
      <c r="F22" t="inlineStr">
        <is>
          <t>2022-10</t>
        </is>
      </c>
      <c r="G22" t="inlineStr">
        <is>
          <t>全部有回應者</t>
        </is>
      </c>
      <c r="H22" t="inlineStr">
        <is>
          <t>全日制求學</t>
        </is>
      </c>
      <c r="K22" t="inlineStr">
        <is>
          <t>38610</t>
        </is>
      </c>
      <c r="L22" t="inlineStr">
        <is>
          <t>93.7</t>
        </is>
      </c>
      <c r="M22" t="inlineStr">
        <is>
          <t>41222</t>
        </is>
      </c>
      <c r="N22" t="inlineStr">
        <is>
          <t>reported</t>
        </is>
      </c>
      <c r="O22" t="inlineStr">
        <is>
          <t>比例分母為該學校類別的有回應畢業生；參照期為10月。</t>
        </is>
      </c>
    </row>
    <row r="23">
      <c r="A23" s="15" t="inlineStr">
        <is>
          <t>EDB-S6-2022</t>
        </is>
      </c>
      <c r="B23" t="inlineStr">
        <is>
          <t>2022 Secondary 6 Students’ Pathway Survey</t>
        </is>
      </c>
      <c r="C23" t="inlineStr">
        <is>
          <t>2.1</t>
        </is>
      </c>
      <c r="D23" t="inlineStr">
        <is>
          <t>6</t>
        </is>
      </c>
      <c r="E23" t="inlineStr">
        <is>
          <t>11</t>
        </is>
      </c>
      <c r="F23" t="inlineStr">
        <is>
          <t>2022-10</t>
        </is>
      </c>
      <c r="G23" t="inlineStr">
        <is>
          <t>全部有回應者</t>
        </is>
      </c>
      <c r="H23" t="inlineStr">
        <is>
          <t>全職工作</t>
        </is>
      </c>
      <c r="K23" t="inlineStr">
        <is>
          <t>1091</t>
        </is>
      </c>
      <c r="L23" t="inlineStr">
        <is>
          <t>2.6</t>
        </is>
      </c>
      <c r="M23" t="inlineStr">
        <is>
          <t>41222</t>
        </is>
      </c>
      <c r="N23" t="inlineStr">
        <is>
          <t>reported</t>
        </is>
      </c>
      <c r="O23" t="inlineStr">
        <is>
          <t>比例分母為該學校類別的有回應畢業生；參照期為10月。</t>
        </is>
      </c>
    </row>
    <row r="24">
      <c r="A24" s="15" t="inlineStr">
        <is>
          <t>EDB-S6-2022</t>
        </is>
      </c>
      <c r="B24" t="inlineStr">
        <is>
          <t>2022 Secondary 6 Students’ Pathway Survey</t>
        </is>
      </c>
      <c r="C24" t="inlineStr">
        <is>
          <t>2.1</t>
        </is>
      </c>
      <c r="D24" t="inlineStr">
        <is>
          <t>6</t>
        </is>
      </c>
      <c r="E24" t="inlineStr">
        <is>
          <t>11</t>
        </is>
      </c>
      <c r="F24" t="inlineStr">
        <is>
          <t>2022-10</t>
        </is>
      </c>
      <c r="G24" t="inlineStr">
        <is>
          <t>全部有回應者</t>
        </is>
      </c>
      <c r="H24" t="inlineStr">
        <is>
          <t>既非工作亦非求學</t>
        </is>
      </c>
      <c r="K24" t="inlineStr">
        <is>
          <t>587</t>
        </is>
      </c>
      <c r="L24" t="inlineStr">
        <is>
          <t>1.4</t>
        </is>
      </c>
      <c r="M24" t="inlineStr">
        <is>
          <t>41222</t>
        </is>
      </c>
      <c r="N24" t="inlineStr">
        <is>
          <t>reported</t>
        </is>
      </c>
      <c r="O24" t="inlineStr">
        <is>
          <t>比例分母為該學校類別的有回應畢業生；參照期為10月。</t>
        </is>
      </c>
    </row>
    <row r="25">
      <c r="A25" s="15" t="inlineStr">
        <is>
          <t>EDB-S6-2022</t>
        </is>
      </c>
      <c r="B25" t="inlineStr">
        <is>
          <t>2022 Secondary 6 Students’ Pathway Survey</t>
        </is>
      </c>
      <c r="C25" t="inlineStr">
        <is>
          <t>2.1</t>
        </is>
      </c>
      <c r="D25" t="inlineStr">
        <is>
          <t>6</t>
        </is>
      </c>
      <c r="E25" t="inlineStr">
        <is>
          <t>11</t>
        </is>
      </c>
      <c r="F25" t="inlineStr">
        <is>
          <t>2022-10</t>
        </is>
      </c>
      <c r="G25" t="inlineStr">
        <is>
          <t>全部有回應者</t>
        </is>
      </c>
      <c r="H25" t="inlineStr">
        <is>
          <t>總數／有回應畢業生</t>
        </is>
      </c>
      <c r="K25" t="inlineStr">
        <is>
          <t>41222</t>
        </is>
      </c>
      <c r="L25" t="inlineStr">
        <is>
          <t>100.0</t>
        </is>
      </c>
      <c r="M25" t="inlineStr">
        <is>
          <t>41222</t>
        </is>
      </c>
      <c r="N25" t="inlineStr">
        <is>
          <t>reported</t>
        </is>
      </c>
      <c r="O25" t="inlineStr">
        <is>
          <t>EDB原表總數；只涵蓋有回應畢業生。</t>
        </is>
      </c>
    </row>
    <row r="26">
      <c r="A26" s="15" t="inlineStr">
        <is>
          <t>EDB-S6-2022</t>
        </is>
      </c>
      <c r="B26" t="inlineStr">
        <is>
          <t>2022 Secondary 6 Students’ Pathway Survey</t>
        </is>
      </c>
      <c r="C26" t="inlineStr">
        <is>
          <t>2.1</t>
        </is>
      </c>
      <c r="D26" t="inlineStr">
        <is>
          <t>6</t>
        </is>
      </c>
      <c r="E26" t="inlineStr">
        <is>
          <t>11</t>
        </is>
      </c>
      <c r="F26" t="inlineStr">
        <is>
          <t>2022-10</t>
        </is>
      </c>
      <c r="G26" t="inlineStr">
        <is>
          <t>全部有回應者</t>
        </is>
      </c>
      <c r="H26" t="inlineStr">
        <is>
          <t>部分時間工作／求學</t>
        </is>
      </c>
      <c r="K26" t="inlineStr">
        <is>
          <t>934</t>
        </is>
      </c>
      <c r="L26" t="inlineStr">
        <is>
          <t>2.3</t>
        </is>
      </c>
      <c r="M26" t="inlineStr">
        <is>
          <t>41222</t>
        </is>
      </c>
      <c r="N26" t="inlineStr">
        <is>
          <t>reported</t>
        </is>
      </c>
      <c r="O26" t="inlineStr">
        <is>
          <t>比例分母為該學校類別的有回應畢業生；參照期為10月。「部分時間工作／求學」為合併分類。</t>
        </is>
      </c>
    </row>
    <row r="27">
      <c r="A27" s="15" t="inlineStr">
        <is>
          <t>EDB-S6-2022</t>
        </is>
      </c>
      <c r="B27" t="inlineStr">
        <is>
          <t>2022 Secondary 6 Students’ Pathway Survey</t>
        </is>
      </c>
      <c r="C27" t="inlineStr">
        <is>
          <t>2.1</t>
        </is>
      </c>
      <c r="D27" t="inlineStr">
        <is>
          <t>6</t>
        </is>
      </c>
      <c r="E27" t="inlineStr">
        <is>
          <t>11</t>
        </is>
      </c>
      <c r="F27" t="inlineStr">
        <is>
          <t>2022-10</t>
        </is>
      </c>
      <c r="G27" t="inlineStr">
        <is>
          <t>官立</t>
        </is>
      </c>
      <c r="H27" t="inlineStr">
        <is>
          <t>全日制求學</t>
        </is>
      </c>
      <c r="K27" t="inlineStr">
        <is>
          <t>2757</t>
        </is>
      </c>
      <c r="L27" t="inlineStr">
        <is>
          <t>92.2</t>
        </is>
      </c>
      <c r="M27" t="inlineStr">
        <is>
          <t>2990</t>
        </is>
      </c>
      <c r="N27" t="inlineStr">
        <is>
          <t>reported</t>
        </is>
      </c>
      <c r="O27" t="inlineStr">
        <is>
          <t>比例分母為該學校類別的有回應畢業生；參照期為10月。</t>
        </is>
      </c>
    </row>
    <row r="28">
      <c r="A28" s="15" t="inlineStr">
        <is>
          <t>EDB-S6-2022</t>
        </is>
      </c>
      <c r="B28" t="inlineStr">
        <is>
          <t>2022 Secondary 6 Students’ Pathway Survey</t>
        </is>
      </c>
      <c r="C28" t="inlineStr">
        <is>
          <t>2.1</t>
        </is>
      </c>
      <c r="D28" t="inlineStr">
        <is>
          <t>6</t>
        </is>
      </c>
      <c r="E28" t="inlineStr">
        <is>
          <t>11</t>
        </is>
      </c>
      <c r="F28" t="inlineStr">
        <is>
          <t>2022-10</t>
        </is>
      </c>
      <c r="G28" t="inlineStr">
        <is>
          <t>官立</t>
        </is>
      </c>
      <c r="H28" t="inlineStr">
        <is>
          <t>全職工作</t>
        </is>
      </c>
      <c r="K28" t="inlineStr">
        <is>
          <t>92</t>
        </is>
      </c>
      <c r="L28" t="inlineStr">
        <is>
          <t>3.1</t>
        </is>
      </c>
      <c r="M28" t="inlineStr">
        <is>
          <t>2990</t>
        </is>
      </c>
      <c r="N28" t="inlineStr">
        <is>
          <t>reported</t>
        </is>
      </c>
      <c r="O28" t="inlineStr">
        <is>
          <t>比例分母為該學校類別的有回應畢業生；參照期為10月。</t>
        </is>
      </c>
    </row>
    <row r="29">
      <c r="A29" s="15" t="inlineStr">
        <is>
          <t>EDB-S6-2022</t>
        </is>
      </c>
      <c r="B29" t="inlineStr">
        <is>
          <t>2022 Secondary 6 Students’ Pathway Survey</t>
        </is>
      </c>
      <c r="C29" t="inlineStr">
        <is>
          <t>2.1</t>
        </is>
      </c>
      <c r="D29" t="inlineStr">
        <is>
          <t>6</t>
        </is>
      </c>
      <c r="E29" t="inlineStr">
        <is>
          <t>11</t>
        </is>
      </c>
      <c r="F29" t="inlineStr">
        <is>
          <t>2022-10</t>
        </is>
      </c>
      <c r="G29" t="inlineStr">
        <is>
          <t>官立</t>
        </is>
      </c>
      <c r="H29" t="inlineStr">
        <is>
          <t>既非工作亦非求學</t>
        </is>
      </c>
      <c r="K29" t="inlineStr">
        <is>
          <t>42</t>
        </is>
      </c>
      <c r="L29" t="inlineStr">
        <is>
          <t>1.4</t>
        </is>
      </c>
      <c r="M29" t="inlineStr">
        <is>
          <t>2990</t>
        </is>
      </c>
      <c r="N29" t="inlineStr">
        <is>
          <t>reported</t>
        </is>
      </c>
      <c r="O29" t="inlineStr">
        <is>
          <t>比例分母為該學校類別的有回應畢業生；參照期為10月。</t>
        </is>
      </c>
    </row>
    <row r="30">
      <c r="A30" s="15" t="inlineStr">
        <is>
          <t>EDB-S6-2022</t>
        </is>
      </c>
      <c r="B30" t="inlineStr">
        <is>
          <t>2022 Secondary 6 Students’ Pathway Survey</t>
        </is>
      </c>
      <c r="C30" t="inlineStr">
        <is>
          <t>2.1</t>
        </is>
      </c>
      <c r="D30" t="inlineStr">
        <is>
          <t>6</t>
        </is>
      </c>
      <c r="E30" t="inlineStr">
        <is>
          <t>11</t>
        </is>
      </c>
      <c r="F30" t="inlineStr">
        <is>
          <t>2022-10</t>
        </is>
      </c>
      <c r="G30" t="inlineStr">
        <is>
          <t>官立</t>
        </is>
      </c>
      <c r="H30" t="inlineStr">
        <is>
          <t>總數／有回應畢業生</t>
        </is>
      </c>
      <c r="K30" t="inlineStr">
        <is>
          <t>2990</t>
        </is>
      </c>
      <c r="L30" t="inlineStr">
        <is>
          <t>100.0</t>
        </is>
      </c>
      <c r="M30" t="inlineStr">
        <is>
          <t>2990</t>
        </is>
      </c>
      <c r="N30" t="inlineStr">
        <is>
          <t>reported</t>
        </is>
      </c>
      <c r="O30" t="inlineStr">
        <is>
          <t>EDB原表總數；只涵蓋有回應畢業生。</t>
        </is>
      </c>
    </row>
    <row r="31">
      <c r="A31" s="15" t="inlineStr">
        <is>
          <t>EDB-S6-2022</t>
        </is>
      </c>
      <c r="B31" t="inlineStr">
        <is>
          <t>2022 Secondary 6 Students’ Pathway Survey</t>
        </is>
      </c>
      <c r="C31" t="inlineStr">
        <is>
          <t>2.1</t>
        </is>
      </c>
      <c r="D31" t="inlineStr">
        <is>
          <t>6</t>
        </is>
      </c>
      <c r="E31" t="inlineStr">
        <is>
          <t>11</t>
        </is>
      </c>
      <c r="F31" t="inlineStr">
        <is>
          <t>2022-10</t>
        </is>
      </c>
      <c r="G31" t="inlineStr">
        <is>
          <t>官立</t>
        </is>
      </c>
      <c r="H31" t="inlineStr">
        <is>
          <t>部分時間工作／求學</t>
        </is>
      </c>
      <c r="K31" t="inlineStr">
        <is>
          <t>99</t>
        </is>
      </c>
      <c r="L31" t="inlineStr">
        <is>
          <t>3.3</t>
        </is>
      </c>
      <c r="M31" t="inlineStr">
        <is>
          <t>2990</t>
        </is>
      </c>
      <c r="N31" t="inlineStr">
        <is>
          <t>reported</t>
        </is>
      </c>
      <c r="O31" t="inlineStr">
        <is>
          <t>比例分母為該學校類別的有回應畢業生；參照期為10月。「部分時間工作／求學」為合併分類。</t>
        </is>
      </c>
    </row>
    <row r="32">
      <c r="A32" s="15" t="inlineStr">
        <is>
          <t>EDB-S6-2022</t>
        </is>
      </c>
      <c r="B32" t="inlineStr">
        <is>
          <t>2022 Secondary 6 Students’ Pathway Survey</t>
        </is>
      </c>
      <c r="C32" t="inlineStr">
        <is>
          <t>2.1</t>
        </is>
      </c>
      <c r="D32" t="inlineStr">
        <is>
          <t>6</t>
        </is>
      </c>
      <c r="E32" t="inlineStr">
        <is>
          <t>11</t>
        </is>
      </c>
      <c r="F32" t="inlineStr">
        <is>
          <t>2022-10</t>
        </is>
      </c>
      <c r="G32" t="inlineStr">
        <is>
          <t>直資／本地私立</t>
        </is>
      </c>
      <c r="H32" t="inlineStr">
        <is>
          <t>全日制求學</t>
        </is>
      </c>
      <c r="K32" t="inlineStr">
        <is>
          <t>5324</t>
        </is>
      </c>
      <c r="L32" t="inlineStr">
        <is>
          <t>92.2</t>
        </is>
      </c>
      <c r="M32" t="inlineStr">
        <is>
          <t>5773</t>
        </is>
      </c>
      <c r="N32" t="inlineStr">
        <is>
          <t>reported</t>
        </is>
      </c>
      <c r="O32" t="inlineStr">
        <is>
          <t>比例分母為該學校類別的有回應畢業生；參照期為10月。</t>
        </is>
      </c>
    </row>
    <row r="33">
      <c r="A33" s="15" t="inlineStr">
        <is>
          <t>EDB-S6-2022</t>
        </is>
      </c>
      <c r="B33" t="inlineStr">
        <is>
          <t>2022 Secondary 6 Students’ Pathway Survey</t>
        </is>
      </c>
      <c r="C33" t="inlineStr">
        <is>
          <t>2.1</t>
        </is>
      </c>
      <c r="D33" t="inlineStr">
        <is>
          <t>6</t>
        </is>
      </c>
      <c r="E33" t="inlineStr">
        <is>
          <t>11</t>
        </is>
      </c>
      <c r="F33" t="inlineStr">
        <is>
          <t>2022-10</t>
        </is>
      </c>
      <c r="G33" t="inlineStr">
        <is>
          <t>直資／本地私立</t>
        </is>
      </c>
      <c r="H33" t="inlineStr">
        <is>
          <t>全職工作</t>
        </is>
      </c>
      <c r="K33" t="inlineStr">
        <is>
          <t>193</t>
        </is>
      </c>
      <c r="L33" t="inlineStr">
        <is>
          <t>3.3</t>
        </is>
      </c>
      <c r="M33" t="inlineStr">
        <is>
          <t>5773</t>
        </is>
      </c>
      <c r="N33" t="inlineStr">
        <is>
          <t>reported</t>
        </is>
      </c>
      <c r="O33" t="inlineStr">
        <is>
          <t>比例分母為該學校類別的有回應畢業生；參照期為10月。</t>
        </is>
      </c>
    </row>
    <row r="34">
      <c r="A34" s="15" t="inlineStr">
        <is>
          <t>EDB-S6-2022</t>
        </is>
      </c>
      <c r="B34" t="inlineStr">
        <is>
          <t>2022 Secondary 6 Students’ Pathway Survey</t>
        </is>
      </c>
      <c r="C34" t="inlineStr">
        <is>
          <t>2.1</t>
        </is>
      </c>
      <c r="D34" t="inlineStr">
        <is>
          <t>6</t>
        </is>
      </c>
      <c r="E34" t="inlineStr">
        <is>
          <t>11</t>
        </is>
      </c>
      <c r="F34" t="inlineStr">
        <is>
          <t>2022-10</t>
        </is>
      </c>
      <c r="G34" t="inlineStr">
        <is>
          <t>直資／本地私立</t>
        </is>
      </c>
      <c r="H34" t="inlineStr">
        <is>
          <t>既非工作亦非求學</t>
        </is>
      </c>
      <c r="K34" t="inlineStr">
        <is>
          <t>157</t>
        </is>
      </c>
      <c r="L34" t="inlineStr">
        <is>
          <t>2.7</t>
        </is>
      </c>
      <c r="M34" t="inlineStr">
        <is>
          <t>5773</t>
        </is>
      </c>
      <c r="N34" t="inlineStr">
        <is>
          <t>reported</t>
        </is>
      </c>
      <c r="O34" t="inlineStr">
        <is>
          <t>比例分母為該學校類別的有回應畢業生；參照期為10月。</t>
        </is>
      </c>
    </row>
    <row r="35">
      <c r="A35" s="15" t="inlineStr">
        <is>
          <t>EDB-S6-2022</t>
        </is>
      </c>
      <c r="B35" t="inlineStr">
        <is>
          <t>2022 Secondary 6 Students’ Pathway Survey</t>
        </is>
      </c>
      <c r="C35" t="inlineStr">
        <is>
          <t>2.1</t>
        </is>
      </c>
      <c r="D35" t="inlineStr">
        <is>
          <t>6</t>
        </is>
      </c>
      <c r="E35" t="inlineStr">
        <is>
          <t>11</t>
        </is>
      </c>
      <c r="F35" t="inlineStr">
        <is>
          <t>2022-10</t>
        </is>
      </c>
      <c r="G35" t="inlineStr">
        <is>
          <t>直資／本地私立</t>
        </is>
      </c>
      <c r="H35" t="inlineStr">
        <is>
          <t>總數／有回應畢業生</t>
        </is>
      </c>
      <c r="K35" t="inlineStr">
        <is>
          <t>5773</t>
        </is>
      </c>
      <c r="L35" t="inlineStr">
        <is>
          <t>100.0</t>
        </is>
      </c>
      <c r="M35" t="inlineStr">
        <is>
          <t>5773</t>
        </is>
      </c>
      <c r="N35" t="inlineStr">
        <is>
          <t>reported</t>
        </is>
      </c>
      <c r="O35" t="inlineStr">
        <is>
          <t>EDB原表總數；只涵蓋有回應畢業生。</t>
        </is>
      </c>
    </row>
    <row r="36">
      <c r="A36" s="15" t="inlineStr">
        <is>
          <t>EDB-S6-2022</t>
        </is>
      </c>
      <c r="B36" t="inlineStr">
        <is>
          <t>2022 Secondary 6 Students’ Pathway Survey</t>
        </is>
      </c>
      <c r="C36" t="inlineStr">
        <is>
          <t>2.1</t>
        </is>
      </c>
      <c r="D36" t="inlineStr">
        <is>
          <t>6</t>
        </is>
      </c>
      <c r="E36" t="inlineStr">
        <is>
          <t>11</t>
        </is>
      </c>
      <c r="F36" t="inlineStr">
        <is>
          <t>2022-10</t>
        </is>
      </c>
      <c r="G36" t="inlineStr">
        <is>
          <t>直資／本地私立</t>
        </is>
      </c>
      <c r="H36" t="inlineStr">
        <is>
          <t>部分時間工作／求學</t>
        </is>
      </c>
      <c r="K36" t="inlineStr">
        <is>
          <t>99</t>
        </is>
      </c>
      <c r="L36" t="inlineStr">
        <is>
          <t>1.7</t>
        </is>
      </c>
      <c r="M36" t="inlineStr">
        <is>
          <t>5773</t>
        </is>
      </c>
      <c r="N36" t="inlineStr">
        <is>
          <t>reported</t>
        </is>
      </c>
      <c r="O36" t="inlineStr">
        <is>
          <t>比例分母為該學校類別的有回應畢業生；參照期為10月。「部分時間工作／求學」為合併分類。</t>
        </is>
      </c>
    </row>
    <row r="37">
      <c r="A37" s="15" t="inlineStr">
        <is>
          <t>EDB-S6-2022</t>
        </is>
      </c>
      <c r="B37" t="inlineStr">
        <is>
          <t>2022 Secondary 6 Students’ Pathway Survey</t>
        </is>
      </c>
      <c r="C37" t="inlineStr">
        <is>
          <t>2.1</t>
        </is>
      </c>
      <c r="D37" t="inlineStr">
        <is>
          <t>6</t>
        </is>
      </c>
      <c r="E37" t="inlineStr">
        <is>
          <t>11</t>
        </is>
      </c>
      <c r="F37" t="inlineStr">
        <is>
          <t>2022-10</t>
        </is>
      </c>
      <c r="G37" t="inlineStr">
        <is>
          <t>資助／按位津貼</t>
        </is>
      </c>
      <c r="H37" t="inlineStr">
        <is>
          <t>全日制求學</t>
        </is>
      </c>
      <c r="K37" t="inlineStr">
        <is>
          <t>30529</t>
        </is>
      </c>
      <c r="L37" t="inlineStr">
        <is>
          <t>94.1</t>
        </is>
      </c>
      <c r="M37" t="inlineStr">
        <is>
          <t>32459</t>
        </is>
      </c>
      <c r="N37" t="inlineStr">
        <is>
          <t>reported</t>
        </is>
      </c>
      <c r="O37" t="inlineStr">
        <is>
          <t>比例分母為該學校類別的有回應畢業生；參照期為10月。</t>
        </is>
      </c>
    </row>
    <row r="38">
      <c r="A38" s="15" t="inlineStr">
        <is>
          <t>EDB-S6-2022</t>
        </is>
      </c>
      <c r="B38" t="inlineStr">
        <is>
          <t>2022 Secondary 6 Students’ Pathway Survey</t>
        </is>
      </c>
      <c r="C38" t="inlineStr">
        <is>
          <t>2.1</t>
        </is>
      </c>
      <c r="D38" t="inlineStr">
        <is>
          <t>6</t>
        </is>
      </c>
      <c r="E38" t="inlineStr">
        <is>
          <t>11</t>
        </is>
      </c>
      <c r="F38" t="inlineStr">
        <is>
          <t>2022-10</t>
        </is>
      </c>
      <c r="G38" t="inlineStr">
        <is>
          <t>資助／按位津貼</t>
        </is>
      </c>
      <c r="H38" t="inlineStr">
        <is>
          <t>全職工作</t>
        </is>
      </c>
      <c r="K38" t="inlineStr">
        <is>
          <t>806</t>
        </is>
      </c>
      <c r="L38" t="inlineStr">
        <is>
          <t>2.5</t>
        </is>
      </c>
      <c r="M38" t="inlineStr">
        <is>
          <t>32459</t>
        </is>
      </c>
      <c r="N38" t="inlineStr">
        <is>
          <t>reported</t>
        </is>
      </c>
      <c r="O38" t="inlineStr">
        <is>
          <t>比例分母為該學校類別的有回應畢業生；參照期為10月。</t>
        </is>
      </c>
    </row>
    <row r="39">
      <c r="A39" s="15" t="inlineStr">
        <is>
          <t>EDB-S6-2022</t>
        </is>
      </c>
      <c r="B39" t="inlineStr">
        <is>
          <t>2022 Secondary 6 Students’ Pathway Survey</t>
        </is>
      </c>
      <c r="C39" t="inlineStr">
        <is>
          <t>2.1</t>
        </is>
      </c>
      <c r="D39" t="inlineStr">
        <is>
          <t>6</t>
        </is>
      </c>
      <c r="E39" t="inlineStr">
        <is>
          <t>11</t>
        </is>
      </c>
      <c r="F39" t="inlineStr">
        <is>
          <t>2022-10</t>
        </is>
      </c>
      <c r="G39" t="inlineStr">
        <is>
          <t>資助／按位津貼</t>
        </is>
      </c>
      <c r="H39" t="inlineStr">
        <is>
          <t>既非工作亦非求學</t>
        </is>
      </c>
      <c r="K39" t="inlineStr">
        <is>
          <t>388</t>
        </is>
      </c>
      <c r="L39" t="inlineStr">
        <is>
          <t>1.2</t>
        </is>
      </c>
      <c r="M39" t="inlineStr">
        <is>
          <t>32459</t>
        </is>
      </c>
      <c r="N39" t="inlineStr">
        <is>
          <t>reported</t>
        </is>
      </c>
      <c r="O39" t="inlineStr">
        <is>
          <t>比例分母為該學校類別的有回應畢業生；參照期為10月。</t>
        </is>
      </c>
    </row>
    <row r="40">
      <c r="A40" s="15" t="inlineStr">
        <is>
          <t>EDB-S6-2022</t>
        </is>
      </c>
      <c r="B40" t="inlineStr">
        <is>
          <t>2022 Secondary 6 Students’ Pathway Survey</t>
        </is>
      </c>
      <c r="C40" t="inlineStr">
        <is>
          <t>2.1</t>
        </is>
      </c>
      <c r="D40" t="inlineStr">
        <is>
          <t>6</t>
        </is>
      </c>
      <c r="E40" t="inlineStr">
        <is>
          <t>11</t>
        </is>
      </c>
      <c r="F40" t="inlineStr">
        <is>
          <t>2022-10</t>
        </is>
      </c>
      <c r="G40" t="inlineStr">
        <is>
          <t>資助／按位津貼</t>
        </is>
      </c>
      <c r="H40" t="inlineStr">
        <is>
          <t>總數／有回應畢業生</t>
        </is>
      </c>
      <c r="K40" t="inlineStr">
        <is>
          <t>32459</t>
        </is>
      </c>
      <c r="L40" t="inlineStr">
        <is>
          <t>100.0</t>
        </is>
      </c>
      <c r="M40" t="inlineStr">
        <is>
          <t>32459</t>
        </is>
      </c>
      <c r="N40" t="inlineStr">
        <is>
          <t>reported</t>
        </is>
      </c>
      <c r="O40" t="inlineStr">
        <is>
          <t>EDB原表總數；只涵蓋有回應畢業生。</t>
        </is>
      </c>
    </row>
    <row r="41">
      <c r="A41" s="15" t="inlineStr">
        <is>
          <t>EDB-S6-2022</t>
        </is>
      </c>
      <c r="B41" t="inlineStr">
        <is>
          <t>2022 Secondary 6 Students’ Pathway Survey</t>
        </is>
      </c>
      <c r="C41" t="inlineStr">
        <is>
          <t>2.1</t>
        </is>
      </c>
      <c r="D41" t="inlineStr">
        <is>
          <t>6</t>
        </is>
      </c>
      <c r="E41" t="inlineStr">
        <is>
          <t>11</t>
        </is>
      </c>
      <c r="F41" t="inlineStr">
        <is>
          <t>2022-10</t>
        </is>
      </c>
      <c r="G41" t="inlineStr">
        <is>
          <t>資助／按位津貼</t>
        </is>
      </c>
      <c r="H41" t="inlineStr">
        <is>
          <t>部分時間工作／求學</t>
        </is>
      </c>
      <c r="K41" t="inlineStr">
        <is>
          <t>736</t>
        </is>
      </c>
      <c r="L41" t="inlineStr">
        <is>
          <t>2.3</t>
        </is>
      </c>
      <c r="M41" t="inlineStr">
        <is>
          <t>32459</t>
        </is>
      </c>
      <c r="N41" t="inlineStr">
        <is>
          <t>reported</t>
        </is>
      </c>
      <c r="O41" t="inlineStr">
        <is>
          <t>比例分母為該學校類別的有回應畢業生；參照期為10月。「部分時間工作／求學」為合併分類。</t>
        </is>
      </c>
    </row>
    <row r="42">
      <c r="A42" s="15" t="inlineStr">
        <is>
          <t>EDB-S6-2023</t>
        </is>
      </c>
      <c r="B42" t="inlineStr">
        <is>
          <t>2023 Secondary 6 Students’ Pathway Survey</t>
        </is>
      </c>
      <c r="C42" t="inlineStr">
        <is>
          <t>2.1</t>
        </is>
      </c>
      <c r="D42" t="inlineStr">
        <is>
          <t>6</t>
        </is>
      </c>
      <c r="E42" t="inlineStr">
        <is>
          <t>11</t>
        </is>
      </c>
      <c r="F42" t="inlineStr">
        <is>
          <t>2023-10</t>
        </is>
      </c>
      <c r="G42" t="inlineStr">
        <is>
          <t>全部有回應者</t>
        </is>
      </c>
      <c r="H42" t="inlineStr">
        <is>
          <t>全日制求學</t>
        </is>
      </c>
      <c r="K42" t="inlineStr">
        <is>
          <t>38598</t>
        </is>
      </c>
      <c r="L42" t="inlineStr">
        <is>
          <t>94.3</t>
        </is>
      </c>
      <c r="M42" t="inlineStr">
        <is>
          <t>40951</t>
        </is>
      </c>
      <c r="N42" t="inlineStr">
        <is>
          <t>reported</t>
        </is>
      </c>
      <c r="O42" t="inlineStr">
        <is>
          <t>比例分母為該學校類別的有回應畢業生；參照期為10月。</t>
        </is>
      </c>
    </row>
    <row r="43">
      <c r="A43" s="15" t="inlineStr">
        <is>
          <t>EDB-S6-2023</t>
        </is>
      </c>
      <c r="B43" t="inlineStr">
        <is>
          <t>2023 Secondary 6 Students’ Pathway Survey</t>
        </is>
      </c>
      <c r="C43" t="inlineStr">
        <is>
          <t>2.1</t>
        </is>
      </c>
      <c r="D43" t="inlineStr">
        <is>
          <t>6</t>
        </is>
      </c>
      <c r="E43" t="inlineStr">
        <is>
          <t>11</t>
        </is>
      </c>
      <c r="F43" t="inlineStr">
        <is>
          <t>2023-10</t>
        </is>
      </c>
      <c r="G43" t="inlineStr">
        <is>
          <t>全部有回應者</t>
        </is>
      </c>
      <c r="H43" t="inlineStr">
        <is>
          <t>全職工作</t>
        </is>
      </c>
      <c r="K43" t="inlineStr">
        <is>
          <t>1115</t>
        </is>
      </c>
      <c r="L43" t="inlineStr">
        <is>
          <t>2.7</t>
        </is>
      </c>
      <c r="M43" t="inlineStr">
        <is>
          <t>40951</t>
        </is>
      </c>
      <c r="N43" t="inlineStr">
        <is>
          <t>reported</t>
        </is>
      </c>
      <c r="O43" t="inlineStr">
        <is>
          <t>比例分母為該學校類別的有回應畢業生；參照期為10月。</t>
        </is>
      </c>
    </row>
    <row r="44">
      <c r="A44" s="15" t="inlineStr">
        <is>
          <t>EDB-S6-2023</t>
        </is>
      </c>
      <c r="B44" t="inlineStr">
        <is>
          <t>2023 Secondary 6 Students’ Pathway Survey</t>
        </is>
      </c>
      <c r="C44" t="inlineStr">
        <is>
          <t>2.1</t>
        </is>
      </c>
      <c r="D44" t="inlineStr">
        <is>
          <t>6</t>
        </is>
      </c>
      <c r="E44" t="inlineStr">
        <is>
          <t>11</t>
        </is>
      </c>
      <c r="F44" t="inlineStr">
        <is>
          <t>2023-10</t>
        </is>
      </c>
      <c r="G44" t="inlineStr">
        <is>
          <t>全部有回應者</t>
        </is>
      </c>
      <c r="H44" t="inlineStr">
        <is>
          <t>既非工作亦非求學</t>
        </is>
      </c>
      <c r="K44" t="inlineStr">
        <is>
          <t>515</t>
        </is>
      </c>
      <c r="L44" t="inlineStr">
        <is>
          <t>1.3</t>
        </is>
      </c>
      <c r="M44" t="inlineStr">
        <is>
          <t>40951</t>
        </is>
      </c>
      <c r="N44" t="inlineStr">
        <is>
          <t>reported</t>
        </is>
      </c>
      <c r="O44" t="inlineStr">
        <is>
          <t>比例分母為該學校類別的有回應畢業生；參照期為10月。</t>
        </is>
      </c>
    </row>
    <row r="45">
      <c r="A45" s="15" t="inlineStr">
        <is>
          <t>EDB-S6-2023</t>
        </is>
      </c>
      <c r="B45" t="inlineStr">
        <is>
          <t>2023 Secondary 6 Students’ Pathway Survey</t>
        </is>
      </c>
      <c r="C45" t="inlineStr">
        <is>
          <t>2.1</t>
        </is>
      </c>
      <c r="D45" t="inlineStr">
        <is>
          <t>6</t>
        </is>
      </c>
      <c r="E45" t="inlineStr">
        <is>
          <t>11</t>
        </is>
      </c>
      <c r="F45" t="inlineStr">
        <is>
          <t>2023-10</t>
        </is>
      </c>
      <c r="G45" t="inlineStr">
        <is>
          <t>全部有回應者</t>
        </is>
      </c>
      <c r="H45" t="inlineStr">
        <is>
          <t>總數／有回應畢業生</t>
        </is>
      </c>
      <c r="K45" t="inlineStr">
        <is>
          <t>40951</t>
        </is>
      </c>
      <c r="L45" t="inlineStr">
        <is>
          <t>100.0</t>
        </is>
      </c>
      <c r="M45" t="inlineStr">
        <is>
          <t>40951</t>
        </is>
      </c>
      <c r="N45" t="inlineStr">
        <is>
          <t>reported</t>
        </is>
      </c>
      <c r="O45" t="inlineStr">
        <is>
          <t>EDB原表總數；只涵蓋有回應畢業生。</t>
        </is>
      </c>
    </row>
    <row r="46">
      <c r="A46" s="15" t="inlineStr">
        <is>
          <t>EDB-S6-2023</t>
        </is>
      </c>
      <c r="B46" t="inlineStr">
        <is>
          <t>2023 Secondary 6 Students’ Pathway Survey</t>
        </is>
      </c>
      <c r="C46" t="inlineStr">
        <is>
          <t>2.1</t>
        </is>
      </c>
      <c r="D46" t="inlineStr">
        <is>
          <t>6</t>
        </is>
      </c>
      <c r="E46" t="inlineStr">
        <is>
          <t>11</t>
        </is>
      </c>
      <c r="F46" t="inlineStr">
        <is>
          <t>2023-10</t>
        </is>
      </c>
      <c r="G46" t="inlineStr">
        <is>
          <t>全部有回應者</t>
        </is>
      </c>
      <c r="H46" t="inlineStr">
        <is>
          <t>部分時間工作／求學</t>
        </is>
      </c>
      <c r="K46" t="inlineStr">
        <is>
          <t>723</t>
        </is>
      </c>
      <c r="L46" t="inlineStr">
        <is>
          <t>1.8</t>
        </is>
      </c>
      <c r="M46" t="inlineStr">
        <is>
          <t>40951</t>
        </is>
      </c>
      <c r="N46" t="inlineStr">
        <is>
          <t>reported</t>
        </is>
      </c>
      <c r="O46" t="inlineStr">
        <is>
          <t>比例分母為該學校類別的有回應畢業生；參照期為10月。「部分時間工作／求學」為合併分類。</t>
        </is>
      </c>
    </row>
    <row r="47">
      <c r="A47" s="15" t="inlineStr">
        <is>
          <t>EDB-S6-2023</t>
        </is>
      </c>
      <c r="B47" t="inlineStr">
        <is>
          <t>2023 Secondary 6 Students’ Pathway Survey</t>
        </is>
      </c>
      <c r="C47" t="inlineStr">
        <is>
          <t>2.1</t>
        </is>
      </c>
      <c r="D47" t="inlineStr">
        <is>
          <t>6</t>
        </is>
      </c>
      <c r="E47" t="inlineStr">
        <is>
          <t>11</t>
        </is>
      </c>
      <c r="F47" t="inlineStr">
        <is>
          <t>2023-10</t>
        </is>
      </c>
      <c r="G47" t="inlineStr">
        <is>
          <t>官立</t>
        </is>
      </c>
      <c r="H47" t="inlineStr">
        <is>
          <t>全日制求學</t>
        </is>
      </c>
      <c r="K47" t="inlineStr">
        <is>
          <t>2755</t>
        </is>
      </c>
      <c r="L47" t="inlineStr">
        <is>
          <t>95.0</t>
        </is>
      </c>
      <c r="M47" t="inlineStr">
        <is>
          <t>2899</t>
        </is>
      </c>
      <c r="N47" t="inlineStr">
        <is>
          <t>reported</t>
        </is>
      </c>
      <c r="O47" t="inlineStr">
        <is>
          <t>比例分母為該學校類別的有回應畢業生；參照期為10月。</t>
        </is>
      </c>
    </row>
    <row r="48">
      <c r="A48" s="15" t="inlineStr">
        <is>
          <t>EDB-S6-2023</t>
        </is>
      </c>
      <c r="B48" t="inlineStr">
        <is>
          <t>2023 Secondary 6 Students’ Pathway Survey</t>
        </is>
      </c>
      <c r="C48" t="inlineStr">
        <is>
          <t>2.1</t>
        </is>
      </c>
      <c r="D48" t="inlineStr">
        <is>
          <t>6</t>
        </is>
      </c>
      <c r="E48" t="inlineStr">
        <is>
          <t>11</t>
        </is>
      </c>
      <c r="F48" t="inlineStr">
        <is>
          <t>2023-10</t>
        </is>
      </c>
      <c r="G48" t="inlineStr">
        <is>
          <t>官立</t>
        </is>
      </c>
      <c r="H48" t="inlineStr">
        <is>
          <t>全職工作</t>
        </is>
      </c>
      <c r="K48" t="inlineStr">
        <is>
          <t>70</t>
        </is>
      </c>
      <c r="L48" t="inlineStr">
        <is>
          <t>2.4</t>
        </is>
      </c>
      <c r="M48" t="inlineStr">
        <is>
          <t>2899</t>
        </is>
      </c>
      <c r="N48" t="inlineStr">
        <is>
          <t>reported</t>
        </is>
      </c>
      <c r="O48" t="inlineStr">
        <is>
          <t>比例分母為該學校類別的有回應畢業生；參照期為10月。</t>
        </is>
      </c>
    </row>
    <row r="49">
      <c r="A49" s="15" t="inlineStr">
        <is>
          <t>EDB-S6-2023</t>
        </is>
      </c>
      <c r="B49" t="inlineStr">
        <is>
          <t>2023 Secondary 6 Students’ Pathway Survey</t>
        </is>
      </c>
      <c r="C49" t="inlineStr">
        <is>
          <t>2.1</t>
        </is>
      </c>
      <c r="D49" t="inlineStr">
        <is>
          <t>6</t>
        </is>
      </c>
      <c r="E49" t="inlineStr">
        <is>
          <t>11</t>
        </is>
      </c>
      <c r="F49" t="inlineStr">
        <is>
          <t>2023-10</t>
        </is>
      </c>
      <c r="G49" t="inlineStr">
        <is>
          <t>官立</t>
        </is>
      </c>
      <c r="H49" t="inlineStr">
        <is>
          <t>既非工作亦非求學</t>
        </is>
      </c>
      <c r="K49" t="inlineStr">
        <is>
          <t>24</t>
        </is>
      </c>
      <c r="L49" t="inlineStr">
        <is>
          <t>0.8</t>
        </is>
      </c>
      <c r="M49" t="inlineStr">
        <is>
          <t>2899</t>
        </is>
      </c>
      <c r="N49" t="inlineStr">
        <is>
          <t>reported</t>
        </is>
      </c>
      <c r="O49" t="inlineStr">
        <is>
          <t>比例分母為該學校類別的有回應畢業生；參照期為10月。</t>
        </is>
      </c>
    </row>
    <row r="50">
      <c r="A50" s="15" t="inlineStr">
        <is>
          <t>EDB-S6-2023</t>
        </is>
      </c>
      <c r="B50" t="inlineStr">
        <is>
          <t>2023 Secondary 6 Students’ Pathway Survey</t>
        </is>
      </c>
      <c r="C50" t="inlineStr">
        <is>
          <t>2.1</t>
        </is>
      </c>
      <c r="D50" t="inlineStr">
        <is>
          <t>6</t>
        </is>
      </c>
      <c r="E50" t="inlineStr">
        <is>
          <t>11</t>
        </is>
      </c>
      <c r="F50" t="inlineStr">
        <is>
          <t>2023-10</t>
        </is>
      </c>
      <c r="G50" t="inlineStr">
        <is>
          <t>官立</t>
        </is>
      </c>
      <c r="H50" t="inlineStr">
        <is>
          <t>總數／有回應畢業生</t>
        </is>
      </c>
      <c r="K50" t="inlineStr">
        <is>
          <t>2899</t>
        </is>
      </c>
      <c r="L50" t="inlineStr">
        <is>
          <t>100.0</t>
        </is>
      </c>
      <c r="M50" t="inlineStr">
        <is>
          <t>2899</t>
        </is>
      </c>
      <c r="N50" t="inlineStr">
        <is>
          <t>reported</t>
        </is>
      </c>
      <c r="O50" t="inlineStr">
        <is>
          <t>EDB原表總數；只涵蓋有回應畢業生。</t>
        </is>
      </c>
    </row>
    <row r="51">
      <c r="A51" s="15" t="inlineStr">
        <is>
          <t>EDB-S6-2023</t>
        </is>
      </c>
      <c r="B51" t="inlineStr">
        <is>
          <t>2023 Secondary 6 Students’ Pathway Survey</t>
        </is>
      </c>
      <c r="C51" t="inlineStr">
        <is>
          <t>2.1</t>
        </is>
      </c>
      <c r="D51" t="inlineStr">
        <is>
          <t>6</t>
        </is>
      </c>
      <c r="E51" t="inlineStr">
        <is>
          <t>11</t>
        </is>
      </c>
      <c r="F51" t="inlineStr">
        <is>
          <t>2023-10</t>
        </is>
      </c>
      <c r="G51" t="inlineStr">
        <is>
          <t>官立</t>
        </is>
      </c>
      <c r="H51" t="inlineStr">
        <is>
          <t>部分時間工作／求學</t>
        </is>
      </c>
      <c r="K51" t="inlineStr">
        <is>
          <t>50</t>
        </is>
      </c>
      <c r="L51" t="inlineStr">
        <is>
          <t>1.7</t>
        </is>
      </c>
      <c r="M51" t="inlineStr">
        <is>
          <t>2899</t>
        </is>
      </c>
      <c r="N51" t="inlineStr">
        <is>
          <t>reported</t>
        </is>
      </c>
      <c r="O51" t="inlineStr">
        <is>
          <t>比例分母為該學校類別的有回應畢業生；參照期為10月。「部分時間工作／求學」為合併分類。</t>
        </is>
      </c>
    </row>
    <row r="52">
      <c r="A52" s="15" t="inlineStr">
        <is>
          <t>EDB-S6-2023</t>
        </is>
      </c>
      <c r="B52" t="inlineStr">
        <is>
          <t>2023 Secondary 6 Students’ Pathway Survey</t>
        </is>
      </c>
      <c r="C52" t="inlineStr">
        <is>
          <t>2.1</t>
        </is>
      </c>
      <c r="D52" t="inlineStr">
        <is>
          <t>6</t>
        </is>
      </c>
      <c r="E52" t="inlineStr">
        <is>
          <t>11</t>
        </is>
      </c>
      <c r="F52" t="inlineStr">
        <is>
          <t>2023-10</t>
        </is>
      </c>
      <c r="G52" t="inlineStr">
        <is>
          <t>直資／本地私立</t>
        </is>
      </c>
      <c r="H52" t="inlineStr">
        <is>
          <t>全日制求學</t>
        </is>
      </c>
      <c r="K52" t="inlineStr">
        <is>
          <t>5183</t>
        </is>
      </c>
      <c r="L52" t="inlineStr">
        <is>
          <t>92.8</t>
        </is>
      </c>
      <c r="M52" t="inlineStr">
        <is>
          <t>5587</t>
        </is>
      </c>
      <c r="N52" t="inlineStr">
        <is>
          <t>reported</t>
        </is>
      </c>
      <c r="O52" t="inlineStr">
        <is>
          <t>比例分母為該學校類別的有回應畢業生；參照期為10月。</t>
        </is>
      </c>
    </row>
    <row r="53">
      <c r="A53" s="15" t="inlineStr">
        <is>
          <t>EDB-S6-2023</t>
        </is>
      </c>
      <c r="B53" t="inlineStr">
        <is>
          <t>2023 Secondary 6 Students’ Pathway Survey</t>
        </is>
      </c>
      <c r="C53" t="inlineStr">
        <is>
          <t>2.1</t>
        </is>
      </c>
      <c r="D53" t="inlineStr">
        <is>
          <t>6</t>
        </is>
      </c>
      <c r="E53" t="inlineStr">
        <is>
          <t>11</t>
        </is>
      </c>
      <c r="F53" t="inlineStr">
        <is>
          <t>2023-10</t>
        </is>
      </c>
      <c r="G53" t="inlineStr">
        <is>
          <t>直資／本地私立</t>
        </is>
      </c>
      <c r="H53" t="inlineStr">
        <is>
          <t>全職工作</t>
        </is>
      </c>
      <c r="K53" t="inlineStr">
        <is>
          <t>177</t>
        </is>
      </c>
      <c r="L53" t="inlineStr">
        <is>
          <t>3.2</t>
        </is>
      </c>
      <c r="M53" t="inlineStr">
        <is>
          <t>5587</t>
        </is>
      </c>
      <c r="N53" t="inlineStr">
        <is>
          <t>reported</t>
        </is>
      </c>
      <c r="O53" t="inlineStr">
        <is>
          <t>比例分母為該學校類別的有回應畢業生；參照期為10月。</t>
        </is>
      </c>
    </row>
    <row r="54">
      <c r="A54" s="15" t="inlineStr">
        <is>
          <t>EDB-S6-2023</t>
        </is>
      </c>
      <c r="B54" t="inlineStr">
        <is>
          <t>2023 Secondary 6 Students’ Pathway Survey</t>
        </is>
      </c>
      <c r="C54" t="inlineStr">
        <is>
          <t>2.1</t>
        </is>
      </c>
      <c r="D54" t="inlineStr">
        <is>
          <t>6</t>
        </is>
      </c>
      <c r="E54" t="inlineStr">
        <is>
          <t>11</t>
        </is>
      </c>
      <c r="F54" t="inlineStr">
        <is>
          <t>2023-10</t>
        </is>
      </c>
      <c r="G54" t="inlineStr">
        <is>
          <t>直資／本地私立</t>
        </is>
      </c>
      <c r="H54" t="inlineStr">
        <is>
          <t>既非工作亦非求學</t>
        </is>
      </c>
      <c r="K54" t="inlineStr">
        <is>
          <t>76</t>
        </is>
      </c>
      <c r="L54" t="inlineStr">
        <is>
          <t>1.4</t>
        </is>
      </c>
      <c r="M54" t="inlineStr">
        <is>
          <t>5587</t>
        </is>
      </c>
      <c r="N54" t="inlineStr">
        <is>
          <t>reported</t>
        </is>
      </c>
      <c r="O54" t="inlineStr">
        <is>
          <t>比例分母為該學校類別的有回應畢業生；參照期為10月。</t>
        </is>
      </c>
    </row>
    <row r="55">
      <c r="A55" s="15" t="inlineStr">
        <is>
          <t>EDB-S6-2023</t>
        </is>
      </c>
      <c r="B55" t="inlineStr">
        <is>
          <t>2023 Secondary 6 Students’ Pathway Survey</t>
        </is>
      </c>
      <c r="C55" t="inlineStr">
        <is>
          <t>2.1</t>
        </is>
      </c>
      <c r="D55" t="inlineStr">
        <is>
          <t>6</t>
        </is>
      </c>
      <c r="E55" t="inlineStr">
        <is>
          <t>11</t>
        </is>
      </c>
      <c r="F55" t="inlineStr">
        <is>
          <t>2023-10</t>
        </is>
      </c>
      <c r="G55" t="inlineStr">
        <is>
          <t>直資／本地私立</t>
        </is>
      </c>
      <c r="H55" t="inlineStr">
        <is>
          <t>總數／有回應畢業生</t>
        </is>
      </c>
      <c r="K55" t="inlineStr">
        <is>
          <t>5587</t>
        </is>
      </c>
      <c r="L55" t="inlineStr">
        <is>
          <t>100.0</t>
        </is>
      </c>
      <c r="M55" t="inlineStr">
        <is>
          <t>5587</t>
        </is>
      </c>
      <c r="N55" t="inlineStr">
        <is>
          <t>reported</t>
        </is>
      </c>
      <c r="O55" t="inlineStr">
        <is>
          <t>EDB原表總數；只涵蓋有回應畢業生。</t>
        </is>
      </c>
    </row>
    <row r="56">
      <c r="A56" s="15" t="inlineStr">
        <is>
          <t>EDB-S6-2023</t>
        </is>
      </c>
      <c r="B56" t="inlineStr">
        <is>
          <t>2023 Secondary 6 Students’ Pathway Survey</t>
        </is>
      </c>
      <c r="C56" t="inlineStr">
        <is>
          <t>2.1</t>
        </is>
      </c>
      <c r="D56" t="inlineStr">
        <is>
          <t>6</t>
        </is>
      </c>
      <c r="E56" t="inlineStr">
        <is>
          <t>11</t>
        </is>
      </c>
      <c r="F56" t="inlineStr">
        <is>
          <t>2023-10</t>
        </is>
      </c>
      <c r="G56" t="inlineStr">
        <is>
          <t>直資／本地私立</t>
        </is>
      </c>
      <c r="H56" t="inlineStr">
        <is>
          <t>部分時間工作／求學</t>
        </is>
      </c>
      <c r="K56" t="inlineStr">
        <is>
          <t>151</t>
        </is>
      </c>
      <c r="L56" t="inlineStr">
        <is>
          <t>2.7</t>
        </is>
      </c>
      <c r="M56" t="inlineStr">
        <is>
          <t>5587</t>
        </is>
      </c>
      <c r="N56" t="inlineStr">
        <is>
          <t>reported</t>
        </is>
      </c>
      <c r="O56" t="inlineStr">
        <is>
          <t>比例分母為該學校類別的有回應畢業生；參照期為10月。「部分時間工作／求學」為合併分類。</t>
        </is>
      </c>
    </row>
    <row r="57">
      <c r="A57" s="15" t="inlineStr">
        <is>
          <t>EDB-S6-2023</t>
        </is>
      </c>
      <c r="B57" t="inlineStr">
        <is>
          <t>2023 Secondary 6 Students’ Pathway Survey</t>
        </is>
      </c>
      <c r="C57" t="inlineStr">
        <is>
          <t>2.1</t>
        </is>
      </c>
      <c r="D57" t="inlineStr">
        <is>
          <t>6</t>
        </is>
      </c>
      <c r="E57" t="inlineStr">
        <is>
          <t>11</t>
        </is>
      </c>
      <c r="F57" t="inlineStr">
        <is>
          <t>2023-10</t>
        </is>
      </c>
      <c r="G57" t="inlineStr">
        <is>
          <t>資助／按位津貼</t>
        </is>
      </c>
      <c r="H57" t="inlineStr">
        <is>
          <t>全日制求學</t>
        </is>
      </c>
      <c r="K57" t="inlineStr">
        <is>
          <t>30660</t>
        </is>
      </c>
      <c r="L57" t="inlineStr">
        <is>
          <t>94.4</t>
        </is>
      </c>
      <c r="M57" t="inlineStr">
        <is>
          <t>32465</t>
        </is>
      </c>
      <c r="N57" t="inlineStr">
        <is>
          <t>reported</t>
        </is>
      </c>
      <c r="O57" t="inlineStr">
        <is>
          <t>比例分母為該學校類別的有回應畢業生；參照期為10月。</t>
        </is>
      </c>
    </row>
    <row r="58">
      <c r="A58" s="15" t="inlineStr">
        <is>
          <t>EDB-S6-2023</t>
        </is>
      </c>
      <c r="B58" t="inlineStr">
        <is>
          <t>2023 Secondary 6 Students’ Pathway Survey</t>
        </is>
      </c>
      <c r="C58" t="inlineStr">
        <is>
          <t>2.1</t>
        </is>
      </c>
      <c r="D58" t="inlineStr">
        <is>
          <t>6</t>
        </is>
      </c>
      <c r="E58" t="inlineStr">
        <is>
          <t>11</t>
        </is>
      </c>
      <c r="F58" t="inlineStr">
        <is>
          <t>2023-10</t>
        </is>
      </c>
      <c r="G58" t="inlineStr">
        <is>
          <t>資助／按位津貼</t>
        </is>
      </c>
      <c r="H58" t="inlineStr">
        <is>
          <t>全職工作</t>
        </is>
      </c>
      <c r="K58" t="inlineStr">
        <is>
          <t>868</t>
        </is>
      </c>
      <c r="L58" t="inlineStr">
        <is>
          <t>2.7</t>
        </is>
      </c>
      <c r="M58" t="inlineStr">
        <is>
          <t>32465</t>
        </is>
      </c>
      <c r="N58" t="inlineStr">
        <is>
          <t>reported</t>
        </is>
      </c>
      <c r="O58" t="inlineStr">
        <is>
          <t>比例分母為該學校類別的有回應畢業生；參照期為10月。</t>
        </is>
      </c>
    </row>
    <row r="59">
      <c r="A59" s="15" t="inlineStr">
        <is>
          <t>EDB-S6-2023</t>
        </is>
      </c>
      <c r="B59" t="inlineStr">
        <is>
          <t>2023 Secondary 6 Students’ Pathway Survey</t>
        </is>
      </c>
      <c r="C59" t="inlineStr">
        <is>
          <t>2.1</t>
        </is>
      </c>
      <c r="D59" t="inlineStr">
        <is>
          <t>6</t>
        </is>
      </c>
      <c r="E59" t="inlineStr">
        <is>
          <t>11</t>
        </is>
      </c>
      <c r="F59" t="inlineStr">
        <is>
          <t>2023-10</t>
        </is>
      </c>
      <c r="G59" t="inlineStr">
        <is>
          <t>資助／按位津貼</t>
        </is>
      </c>
      <c r="H59" t="inlineStr">
        <is>
          <t>既非工作亦非求學</t>
        </is>
      </c>
      <c r="K59" t="inlineStr">
        <is>
          <t>415</t>
        </is>
      </c>
      <c r="L59" t="inlineStr">
        <is>
          <t>1.3</t>
        </is>
      </c>
      <c r="M59" t="inlineStr">
        <is>
          <t>32465</t>
        </is>
      </c>
      <c r="N59" t="inlineStr">
        <is>
          <t>reported</t>
        </is>
      </c>
      <c r="O59" t="inlineStr">
        <is>
          <t>比例分母為該學校類別的有回應畢業生；參照期為10月。</t>
        </is>
      </c>
    </row>
    <row r="60">
      <c r="A60" s="15" t="inlineStr">
        <is>
          <t>EDB-S6-2023</t>
        </is>
      </c>
      <c r="B60" t="inlineStr">
        <is>
          <t>2023 Secondary 6 Students’ Pathway Survey</t>
        </is>
      </c>
      <c r="C60" t="inlineStr">
        <is>
          <t>2.1</t>
        </is>
      </c>
      <c r="D60" t="inlineStr">
        <is>
          <t>6</t>
        </is>
      </c>
      <c r="E60" t="inlineStr">
        <is>
          <t>11</t>
        </is>
      </c>
      <c r="F60" t="inlineStr">
        <is>
          <t>2023-10</t>
        </is>
      </c>
      <c r="G60" t="inlineStr">
        <is>
          <t>資助／按位津貼</t>
        </is>
      </c>
      <c r="H60" t="inlineStr">
        <is>
          <t>總數／有回應畢業生</t>
        </is>
      </c>
      <c r="K60" t="inlineStr">
        <is>
          <t>32465</t>
        </is>
      </c>
      <c r="L60" t="inlineStr">
        <is>
          <t>100.0</t>
        </is>
      </c>
      <c r="M60" t="inlineStr">
        <is>
          <t>32465</t>
        </is>
      </c>
      <c r="N60" t="inlineStr">
        <is>
          <t>reported</t>
        </is>
      </c>
      <c r="O60" t="inlineStr">
        <is>
          <t>EDB原表總數；只涵蓋有回應畢業生。</t>
        </is>
      </c>
    </row>
    <row r="61">
      <c r="A61" s="15" t="inlineStr">
        <is>
          <t>EDB-S6-2023</t>
        </is>
      </c>
      <c r="B61" t="inlineStr">
        <is>
          <t>2023 Secondary 6 Students’ Pathway Survey</t>
        </is>
      </c>
      <c r="C61" t="inlineStr">
        <is>
          <t>2.1</t>
        </is>
      </c>
      <c r="D61" t="inlineStr">
        <is>
          <t>6</t>
        </is>
      </c>
      <c r="E61" t="inlineStr">
        <is>
          <t>11</t>
        </is>
      </c>
      <c r="F61" t="inlineStr">
        <is>
          <t>2023-10</t>
        </is>
      </c>
      <c r="G61" t="inlineStr">
        <is>
          <t>資助／按位津貼</t>
        </is>
      </c>
      <c r="H61" t="inlineStr">
        <is>
          <t>部分時間工作／求學</t>
        </is>
      </c>
      <c r="K61" t="inlineStr">
        <is>
          <t>522</t>
        </is>
      </c>
      <c r="L61" t="inlineStr">
        <is>
          <t>1.6</t>
        </is>
      </c>
      <c r="M61" t="inlineStr">
        <is>
          <t>32465</t>
        </is>
      </c>
      <c r="N61" t="inlineStr">
        <is>
          <t>reported</t>
        </is>
      </c>
      <c r="O61" t="inlineStr">
        <is>
          <t>比例分母為該學校類別的有回應畢業生；參照期為10月。「部分時間工作／求學」為合併分類。</t>
        </is>
      </c>
    </row>
    <row r="62">
      <c r="A62" s="15" t="inlineStr">
        <is>
          <t>EDB-S6-2024</t>
        </is>
      </c>
      <c r="B62" t="inlineStr">
        <is>
          <t>2024 Secondary 6 Students’ Pathway Survey</t>
        </is>
      </c>
      <c r="C62" t="inlineStr">
        <is>
          <t>2.1</t>
        </is>
      </c>
      <c r="D62" t="inlineStr">
        <is>
          <t>6</t>
        </is>
      </c>
      <c r="E62" t="inlineStr">
        <is>
          <t>11</t>
        </is>
      </c>
      <c r="F62" t="inlineStr">
        <is>
          <t>2024-10</t>
        </is>
      </c>
      <c r="G62" t="inlineStr">
        <is>
          <t>全部有回應者</t>
        </is>
      </c>
      <c r="H62" t="inlineStr">
        <is>
          <t>全日制求學</t>
        </is>
      </c>
      <c r="K62" t="inlineStr">
        <is>
          <t>39129</t>
        </is>
      </c>
      <c r="L62" t="inlineStr">
        <is>
          <t>94.5</t>
        </is>
      </c>
      <c r="M62" t="inlineStr">
        <is>
          <t>41385</t>
        </is>
      </c>
      <c r="N62" t="inlineStr">
        <is>
          <t>reported</t>
        </is>
      </c>
      <c r="O62" t="inlineStr">
        <is>
          <t>比例分母為該學校類別的有回應畢業生；參照期為10月。</t>
        </is>
      </c>
    </row>
    <row r="63">
      <c r="A63" s="15" t="inlineStr">
        <is>
          <t>EDB-S6-2024</t>
        </is>
      </c>
      <c r="B63" t="inlineStr">
        <is>
          <t>2024 Secondary 6 Students’ Pathway Survey</t>
        </is>
      </c>
      <c r="C63" t="inlineStr">
        <is>
          <t>2.1</t>
        </is>
      </c>
      <c r="D63" t="inlineStr">
        <is>
          <t>6</t>
        </is>
      </c>
      <c r="E63" t="inlineStr">
        <is>
          <t>11</t>
        </is>
      </c>
      <c r="F63" t="inlineStr">
        <is>
          <t>2024-10</t>
        </is>
      </c>
      <c r="G63" t="inlineStr">
        <is>
          <t>全部有回應者</t>
        </is>
      </c>
      <c r="H63" t="inlineStr">
        <is>
          <t>全職工作</t>
        </is>
      </c>
      <c r="K63" t="inlineStr">
        <is>
          <t>923</t>
        </is>
      </c>
      <c r="L63" t="inlineStr">
        <is>
          <t>2.2</t>
        </is>
      </c>
      <c r="M63" t="inlineStr">
        <is>
          <t>41385</t>
        </is>
      </c>
      <c r="N63" t="inlineStr">
        <is>
          <t>reported</t>
        </is>
      </c>
      <c r="O63" t="inlineStr">
        <is>
          <t>比例分母為該學校類別的有回應畢業生；參照期為10月。</t>
        </is>
      </c>
    </row>
    <row r="64">
      <c r="A64" s="15" t="inlineStr">
        <is>
          <t>EDB-S6-2024</t>
        </is>
      </c>
      <c r="B64" t="inlineStr">
        <is>
          <t>2024 Secondary 6 Students’ Pathway Survey</t>
        </is>
      </c>
      <c r="C64" t="inlineStr">
        <is>
          <t>2.1</t>
        </is>
      </c>
      <c r="D64" t="inlineStr">
        <is>
          <t>6</t>
        </is>
      </c>
      <c r="E64" t="inlineStr">
        <is>
          <t>11</t>
        </is>
      </c>
      <c r="F64" t="inlineStr">
        <is>
          <t>2024-10</t>
        </is>
      </c>
      <c r="G64" t="inlineStr">
        <is>
          <t>全部有回應者</t>
        </is>
      </c>
      <c r="H64" t="inlineStr">
        <is>
          <t>既非工作亦非求學</t>
        </is>
      </c>
      <c r="K64" t="inlineStr">
        <is>
          <t>455</t>
        </is>
      </c>
      <c r="L64" t="inlineStr">
        <is>
          <t>1.1</t>
        </is>
      </c>
      <c r="M64" t="inlineStr">
        <is>
          <t>41385</t>
        </is>
      </c>
      <c r="N64" t="inlineStr">
        <is>
          <t>reported</t>
        </is>
      </c>
      <c r="O64" t="inlineStr">
        <is>
          <t>比例分母為該學校類別的有回應畢業生；參照期為10月。</t>
        </is>
      </c>
    </row>
    <row r="65">
      <c r="A65" s="15" t="inlineStr">
        <is>
          <t>EDB-S6-2024</t>
        </is>
      </c>
      <c r="B65" t="inlineStr">
        <is>
          <t>2024 Secondary 6 Students’ Pathway Survey</t>
        </is>
      </c>
      <c r="C65" t="inlineStr">
        <is>
          <t>2.1</t>
        </is>
      </c>
      <c r="D65" t="inlineStr">
        <is>
          <t>6</t>
        </is>
      </c>
      <c r="E65" t="inlineStr">
        <is>
          <t>11</t>
        </is>
      </c>
      <c r="F65" t="inlineStr">
        <is>
          <t>2024-10</t>
        </is>
      </c>
      <c r="G65" t="inlineStr">
        <is>
          <t>全部有回應者</t>
        </is>
      </c>
      <c r="H65" t="inlineStr">
        <is>
          <t>總數／有回應畢業生</t>
        </is>
      </c>
      <c r="K65" t="inlineStr">
        <is>
          <t>41385</t>
        </is>
      </c>
      <c r="L65" t="inlineStr">
        <is>
          <t>100.0</t>
        </is>
      </c>
      <c r="M65" t="inlineStr">
        <is>
          <t>41385</t>
        </is>
      </c>
      <c r="N65" t="inlineStr">
        <is>
          <t>reported</t>
        </is>
      </c>
      <c r="O65" t="inlineStr">
        <is>
          <t>EDB原表總數；只涵蓋有回應畢業生。</t>
        </is>
      </c>
    </row>
    <row r="66">
      <c r="A66" s="15" t="inlineStr">
        <is>
          <t>EDB-S6-2024</t>
        </is>
      </c>
      <c r="B66" t="inlineStr">
        <is>
          <t>2024 Secondary 6 Students’ Pathway Survey</t>
        </is>
      </c>
      <c r="C66" t="inlineStr">
        <is>
          <t>2.1</t>
        </is>
      </c>
      <c r="D66" t="inlineStr">
        <is>
          <t>6</t>
        </is>
      </c>
      <c r="E66" t="inlineStr">
        <is>
          <t>11</t>
        </is>
      </c>
      <c r="F66" t="inlineStr">
        <is>
          <t>2024-10</t>
        </is>
      </c>
      <c r="G66" t="inlineStr">
        <is>
          <t>全部有回應者</t>
        </is>
      </c>
      <c r="H66" t="inlineStr">
        <is>
          <t>部分時間工作／求學</t>
        </is>
      </c>
      <c r="K66" t="inlineStr">
        <is>
          <t>878</t>
        </is>
      </c>
      <c r="L66" t="inlineStr">
        <is>
          <t>2.1</t>
        </is>
      </c>
      <c r="M66" t="inlineStr">
        <is>
          <t>41385</t>
        </is>
      </c>
      <c r="N66" t="inlineStr">
        <is>
          <t>reported</t>
        </is>
      </c>
      <c r="O66" t="inlineStr">
        <is>
          <t>比例分母為該學校類別的有回應畢業生；參照期為10月。「部分時間工作／求學」為合併分類。</t>
        </is>
      </c>
    </row>
    <row r="67">
      <c r="A67" s="15" t="inlineStr">
        <is>
          <t>EDB-S6-2024</t>
        </is>
      </c>
      <c r="B67" t="inlineStr">
        <is>
          <t>2024 Secondary 6 Students’ Pathway Survey</t>
        </is>
      </c>
      <c r="C67" t="inlineStr">
        <is>
          <t>2.1</t>
        </is>
      </c>
      <c r="D67" t="inlineStr">
        <is>
          <t>6</t>
        </is>
      </c>
      <c r="E67" t="inlineStr">
        <is>
          <t>11</t>
        </is>
      </c>
      <c r="F67" t="inlineStr">
        <is>
          <t>2024-10</t>
        </is>
      </c>
      <c r="G67" t="inlineStr">
        <is>
          <t>官立</t>
        </is>
      </c>
      <c r="H67" t="inlineStr">
        <is>
          <t>全日制求學</t>
        </is>
      </c>
      <c r="K67" t="inlineStr">
        <is>
          <t>2704</t>
        </is>
      </c>
      <c r="L67" t="inlineStr">
        <is>
          <t>94.0</t>
        </is>
      </c>
      <c r="M67" t="inlineStr">
        <is>
          <t>2877</t>
        </is>
      </c>
      <c r="N67" t="inlineStr">
        <is>
          <t>reported</t>
        </is>
      </c>
      <c r="O67" t="inlineStr">
        <is>
          <t>比例分母為該學校類別的有回應畢業生；參照期為10月。</t>
        </is>
      </c>
    </row>
    <row r="68">
      <c r="A68" s="15" t="inlineStr">
        <is>
          <t>EDB-S6-2024</t>
        </is>
      </c>
      <c r="B68" t="inlineStr">
        <is>
          <t>2024 Secondary 6 Students’ Pathway Survey</t>
        </is>
      </c>
      <c r="C68" t="inlineStr">
        <is>
          <t>2.1</t>
        </is>
      </c>
      <c r="D68" t="inlineStr">
        <is>
          <t>6</t>
        </is>
      </c>
      <c r="E68" t="inlineStr">
        <is>
          <t>11</t>
        </is>
      </c>
      <c r="F68" t="inlineStr">
        <is>
          <t>2024-10</t>
        </is>
      </c>
      <c r="G68" t="inlineStr">
        <is>
          <t>官立</t>
        </is>
      </c>
      <c r="H68" t="inlineStr">
        <is>
          <t>全職工作</t>
        </is>
      </c>
      <c r="K68" t="inlineStr">
        <is>
          <t>47</t>
        </is>
      </c>
      <c r="L68" t="inlineStr">
        <is>
          <t>1.6</t>
        </is>
      </c>
      <c r="M68" t="inlineStr">
        <is>
          <t>2877</t>
        </is>
      </c>
      <c r="N68" t="inlineStr">
        <is>
          <t>reported</t>
        </is>
      </c>
      <c r="O68" t="inlineStr">
        <is>
          <t>比例分母為該學校類別的有回應畢業生；參照期為10月。</t>
        </is>
      </c>
    </row>
    <row r="69">
      <c r="A69" s="15" t="inlineStr">
        <is>
          <t>EDB-S6-2024</t>
        </is>
      </c>
      <c r="B69" t="inlineStr">
        <is>
          <t>2024 Secondary 6 Students’ Pathway Survey</t>
        </is>
      </c>
      <c r="C69" t="inlineStr">
        <is>
          <t>2.1</t>
        </is>
      </c>
      <c r="D69" t="inlineStr">
        <is>
          <t>6</t>
        </is>
      </c>
      <c r="E69" t="inlineStr">
        <is>
          <t>11</t>
        </is>
      </c>
      <c r="F69" t="inlineStr">
        <is>
          <t>2024-10</t>
        </is>
      </c>
      <c r="G69" t="inlineStr">
        <is>
          <t>官立</t>
        </is>
      </c>
      <c r="H69" t="inlineStr">
        <is>
          <t>既非工作亦非求學</t>
        </is>
      </c>
      <c r="K69" t="inlineStr">
        <is>
          <t>43</t>
        </is>
      </c>
      <c r="L69" t="inlineStr">
        <is>
          <t>1.5</t>
        </is>
      </c>
      <c r="M69" t="inlineStr">
        <is>
          <t>2877</t>
        </is>
      </c>
      <c r="N69" t="inlineStr">
        <is>
          <t>reported</t>
        </is>
      </c>
      <c r="O69" t="inlineStr">
        <is>
          <t>比例分母為該學校類別的有回應畢業生；參照期為10月。</t>
        </is>
      </c>
    </row>
    <row r="70">
      <c r="A70" s="15" t="inlineStr">
        <is>
          <t>EDB-S6-2024</t>
        </is>
      </c>
      <c r="B70" t="inlineStr">
        <is>
          <t>2024 Secondary 6 Students’ Pathway Survey</t>
        </is>
      </c>
      <c r="C70" t="inlineStr">
        <is>
          <t>2.1</t>
        </is>
      </c>
      <c r="D70" t="inlineStr">
        <is>
          <t>6</t>
        </is>
      </c>
      <c r="E70" t="inlineStr">
        <is>
          <t>11</t>
        </is>
      </c>
      <c r="F70" t="inlineStr">
        <is>
          <t>2024-10</t>
        </is>
      </c>
      <c r="G70" t="inlineStr">
        <is>
          <t>官立</t>
        </is>
      </c>
      <c r="H70" t="inlineStr">
        <is>
          <t>總數／有回應畢業生</t>
        </is>
      </c>
      <c r="K70" t="inlineStr">
        <is>
          <t>2877</t>
        </is>
      </c>
      <c r="L70" t="inlineStr">
        <is>
          <t>100.0</t>
        </is>
      </c>
      <c r="M70" t="inlineStr">
        <is>
          <t>2877</t>
        </is>
      </c>
      <c r="N70" t="inlineStr">
        <is>
          <t>reported</t>
        </is>
      </c>
      <c r="O70" t="inlineStr">
        <is>
          <t>EDB原表總數；只涵蓋有回應畢業生。</t>
        </is>
      </c>
    </row>
    <row r="71">
      <c r="A71" s="15" t="inlineStr">
        <is>
          <t>EDB-S6-2024</t>
        </is>
      </c>
      <c r="B71" t="inlineStr">
        <is>
          <t>2024 Secondary 6 Students’ Pathway Survey</t>
        </is>
      </c>
      <c r="C71" t="inlineStr">
        <is>
          <t>2.1</t>
        </is>
      </c>
      <c r="D71" t="inlineStr">
        <is>
          <t>6</t>
        </is>
      </c>
      <c r="E71" t="inlineStr">
        <is>
          <t>11</t>
        </is>
      </c>
      <c r="F71" t="inlineStr">
        <is>
          <t>2024-10</t>
        </is>
      </c>
      <c r="G71" t="inlineStr">
        <is>
          <t>官立</t>
        </is>
      </c>
      <c r="H71" t="inlineStr">
        <is>
          <t>部分時間工作／求學</t>
        </is>
      </c>
      <c r="K71" t="inlineStr">
        <is>
          <t>83</t>
        </is>
      </c>
      <c r="L71" t="inlineStr">
        <is>
          <t>2.9</t>
        </is>
      </c>
      <c r="M71" t="inlineStr">
        <is>
          <t>2877</t>
        </is>
      </c>
      <c r="N71" t="inlineStr">
        <is>
          <t>reported</t>
        </is>
      </c>
      <c r="O71" t="inlineStr">
        <is>
          <t>比例分母為該學校類別的有回應畢業生；參照期為10月。「部分時間工作／求學」為合併分類。</t>
        </is>
      </c>
    </row>
    <row r="72">
      <c r="A72" s="15" t="inlineStr">
        <is>
          <t>EDB-S6-2024</t>
        </is>
      </c>
      <c r="B72" t="inlineStr">
        <is>
          <t>2024 Secondary 6 Students’ Pathway Survey</t>
        </is>
      </c>
      <c r="C72" t="inlineStr">
        <is>
          <t>2.1</t>
        </is>
      </c>
      <c r="D72" t="inlineStr">
        <is>
          <t>6</t>
        </is>
      </c>
      <c r="E72" t="inlineStr">
        <is>
          <t>11</t>
        </is>
      </c>
      <c r="F72" t="inlineStr">
        <is>
          <t>2024-10</t>
        </is>
      </c>
      <c r="G72" t="inlineStr">
        <is>
          <t>直資／本地私立</t>
        </is>
      </c>
      <c r="H72" t="inlineStr">
        <is>
          <t>全日制求學</t>
        </is>
      </c>
      <c r="K72" t="inlineStr">
        <is>
          <t>5597</t>
        </is>
      </c>
      <c r="L72" t="inlineStr">
        <is>
          <t>94.7</t>
        </is>
      </c>
      <c r="M72" t="inlineStr">
        <is>
          <t>5913</t>
        </is>
      </c>
      <c r="N72" t="inlineStr">
        <is>
          <t>reported</t>
        </is>
      </c>
      <c r="O72" t="inlineStr">
        <is>
          <t>比例分母為該學校類別的有回應畢業生；參照期為10月。</t>
        </is>
      </c>
    </row>
    <row r="73">
      <c r="A73" s="15" t="inlineStr">
        <is>
          <t>EDB-S6-2024</t>
        </is>
      </c>
      <c r="B73" t="inlineStr">
        <is>
          <t>2024 Secondary 6 Students’ Pathway Survey</t>
        </is>
      </c>
      <c r="C73" t="inlineStr">
        <is>
          <t>2.1</t>
        </is>
      </c>
      <c r="D73" t="inlineStr">
        <is>
          <t>6</t>
        </is>
      </c>
      <c r="E73" t="inlineStr">
        <is>
          <t>11</t>
        </is>
      </c>
      <c r="F73" t="inlineStr">
        <is>
          <t>2024-10</t>
        </is>
      </c>
      <c r="G73" t="inlineStr">
        <is>
          <t>直資／本地私立</t>
        </is>
      </c>
      <c r="H73" t="inlineStr">
        <is>
          <t>全職工作</t>
        </is>
      </c>
      <c r="K73" t="inlineStr">
        <is>
          <t>173</t>
        </is>
      </c>
      <c r="L73" t="inlineStr">
        <is>
          <t>2.9</t>
        </is>
      </c>
      <c r="M73" t="inlineStr">
        <is>
          <t>5913</t>
        </is>
      </c>
      <c r="N73" t="inlineStr">
        <is>
          <t>reported</t>
        </is>
      </c>
      <c r="O73" t="inlineStr">
        <is>
          <t>比例分母為該學校類別的有回應畢業生；參照期為10月。</t>
        </is>
      </c>
    </row>
    <row r="74">
      <c r="A74" s="15" t="inlineStr">
        <is>
          <t>EDB-S6-2024</t>
        </is>
      </c>
      <c r="B74" t="inlineStr">
        <is>
          <t>2024 Secondary 6 Students’ Pathway Survey</t>
        </is>
      </c>
      <c r="C74" t="inlineStr">
        <is>
          <t>2.1</t>
        </is>
      </c>
      <c r="D74" t="inlineStr">
        <is>
          <t>6</t>
        </is>
      </c>
      <c r="E74" t="inlineStr">
        <is>
          <t>11</t>
        </is>
      </c>
      <c r="F74" t="inlineStr">
        <is>
          <t>2024-10</t>
        </is>
      </c>
      <c r="G74" t="inlineStr">
        <is>
          <t>直資／本地私立</t>
        </is>
      </c>
      <c r="H74" t="inlineStr">
        <is>
          <t>既非工作亦非求學</t>
        </is>
      </c>
      <c r="K74" t="inlineStr">
        <is>
          <t>51</t>
        </is>
      </c>
      <c r="L74" t="inlineStr">
        <is>
          <t>0.9</t>
        </is>
      </c>
      <c r="M74" t="inlineStr">
        <is>
          <t>5913</t>
        </is>
      </c>
      <c r="N74" t="inlineStr">
        <is>
          <t>reported</t>
        </is>
      </c>
      <c r="O74" t="inlineStr">
        <is>
          <t>比例分母為該學校類別的有回應畢業生；參照期為10月。</t>
        </is>
      </c>
    </row>
    <row r="75">
      <c r="A75" s="15" t="inlineStr">
        <is>
          <t>EDB-S6-2024</t>
        </is>
      </c>
      <c r="B75" t="inlineStr">
        <is>
          <t>2024 Secondary 6 Students’ Pathway Survey</t>
        </is>
      </c>
      <c r="C75" t="inlineStr">
        <is>
          <t>2.1</t>
        </is>
      </c>
      <c r="D75" t="inlineStr">
        <is>
          <t>6</t>
        </is>
      </c>
      <c r="E75" t="inlineStr">
        <is>
          <t>11</t>
        </is>
      </c>
      <c r="F75" t="inlineStr">
        <is>
          <t>2024-10</t>
        </is>
      </c>
      <c r="G75" t="inlineStr">
        <is>
          <t>直資／本地私立</t>
        </is>
      </c>
      <c r="H75" t="inlineStr">
        <is>
          <t>總數／有回應畢業生</t>
        </is>
      </c>
      <c r="K75" t="inlineStr">
        <is>
          <t>5913</t>
        </is>
      </c>
      <c r="L75" t="inlineStr">
        <is>
          <t>100.0</t>
        </is>
      </c>
      <c r="M75" t="inlineStr">
        <is>
          <t>5913</t>
        </is>
      </c>
      <c r="N75" t="inlineStr">
        <is>
          <t>reported</t>
        </is>
      </c>
      <c r="O75" t="inlineStr">
        <is>
          <t>EDB原表總數；只涵蓋有回應畢業生。</t>
        </is>
      </c>
    </row>
    <row r="76">
      <c r="A76" s="15" t="inlineStr">
        <is>
          <t>EDB-S6-2024</t>
        </is>
      </c>
      <c r="B76" t="inlineStr">
        <is>
          <t>2024 Secondary 6 Students’ Pathway Survey</t>
        </is>
      </c>
      <c r="C76" t="inlineStr">
        <is>
          <t>2.1</t>
        </is>
      </c>
      <c r="D76" t="inlineStr">
        <is>
          <t>6</t>
        </is>
      </c>
      <c r="E76" t="inlineStr">
        <is>
          <t>11</t>
        </is>
      </c>
      <c r="F76" t="inlineStr">
        <is>
          <t>2024-10</t>
        </is>
      </c>
      <c r="G76" t="inlineStr">
        <is>
          <t>直資／本地私立</t>
        </is>
      </c>
      <c r="H76" t="inlineStr">
        <is>
          <t>部分時間工作／求學</t>
        </is>
      </c>
      <c r="K76" t="inlineStr">
        <is>
          <t>92</t>
        </is>
      </c>
      <c r="L76" t="inlineStr">
        <is>
          <t>1.6</t>
        </is>
      </c>
      <c r="M76" t="inlineStr">
        <is>
          <t>5913</t>
        </is>
      </c>
      <c r="N76" t="inlineStr">
        <is>
          <t>reported</t>
        </is>
      </c>
      <c r="O76" t="inlineStr">
        <is>
          <t>比例分母為該學校類別的有回應畢業生；參照期為10月。「部分時間工作／求學」為合併分類。</t>
        </is>
      </c>
    </row>
    <row r="77">
      <c r="A77" s="15" t="inlineStr">
        <is>
          <t>EDB-S6-2024</t>
        </is>
      </c>
      <c r="B77" t="inlineStr">
        <is>
          <t>2024 Secondary 6 Students’ Pathway Survey</t>
        </is>
      </c>
      <c r="C77" t="inlineStr">
        <is>
          <t>2.1</t>
        </is>
      </c>
      <c r="D77" t="inlineStr">
        <is>
          <t>6</t>
        </is>
      </c>
      <c r="E77" t="inlineStr">
        <is>
          <t>11</t>
        </is>
      </c>
      <c r="F77" t="inlineStr">
        <is>
          <t>2024-10</t>
        </is>
      </c>
      <c r="G77" t="inlineStr">
        <is>
          <t>資助／按位津貼</t>
        </is>
      </c>
      <c r="H77" t="inlineStr">
        <is>
          <t>全日制求學</t>
        </is>
      </c>
      <c r="K77" t="inlineStr">
        <is>
          <t>30828</t>
        </is>
      </c>
      <c r="L77" t="inlineStr">
        <is>
          <t>94.6</t>
        </is>
      </c>
      <c r="M77" t="inlineStr">
        <is>
          <t>32595</t>
        </is>
      </c>
      <c r="N77" t="inlineStr">
        <is>
          <t>reported</t>
        </is>
      </c>
      <c r="O77" t="inlineStr">
        <is>
          <t>比例分母為該學校類別的有回應畢業生；參照期為10月。</t>
        </is>
      </c>
    </row>
    <row r="78">
      <c r="A78" s="15" t="inlineStr">
        <is>
          <t>EDB-S6-2024</t>
        </is>
      </c>
      <c r="B78" t="inlineStr">
        <is>
          <t>2024 Secondary 6 Students’ Pathway Survey</t>
        </is>
      </c>
      <c r="C78" t="inlineStr">
        <is>
          <t>2.1</t>
        </is>
      </c>
      <c r="D78" t="inlineStr">
        <is>
          <t>6</t>
        </is>
      </c>
      <c r="E78" t="inlineStr">
        <is>
          <t>11</t>
        </is>
      </c>
      <c r="F78" t="inlineStr">
        <is>
          <t>2024-10</t>
        </is>
      </c>
      <c r="G78" t="inlineStr">
        <is>
          <t>資助／按位津貼</t>
        </is>
      </c>
      <c r="H78" t="inlineStr">
        <is>
          <t>全職工作</t>
        </is>
      </c>
      <c r="K78" t="inlineStr">
        <is>
          <t>703</t>
        </is>
      </c>
      <c r="L78" t="inlineStr">
        <is>
          <t>2.2</t>
        </is>
      </c>
      <c r="M78" t="inlineStr">
        <is>
          <t>32595</t>
        </is>
      </c>
      <c r="N78" t="inlineStr">
        <is>
          <t>reported</t>
        </is>
      </c>
      <c r="O78" t="inlineStr">
        <is>
          <t>比例分母為該學校類別的有回應畢業生；參照期為10月。</t>
        </is>
      </c>
    </row>
    <row r="79">
      <c r="A79" s="15" t="inlineStr">
        <is>
          <t>EDB-S6-2024</t>
        </is>
      </c>
      <c r="B79" t="inlineStr">
        <is>
          <t>2024 Secondary 6 Students’ Pathway Survey</t>
        </is>
      </c>
      <c r="C79" t="inlineStr">
        <is>
          <t>2.1</t>
        </is>
      </c>
      <c r="D79" t="inlineStr">
        <is>
          <t>6</t>
        </is>
      </c>
      <c r="E79" t="inlineStr">
        <is>
          <t>11</t>
        </is>
      </c>
      <c r="F79" t="inlineStr">
        <is>
          <t>2024-10</t>
        </is>
      </c>
      <c r="G79" t="inlineStr">
        <is>
          <t>資助／按位津貼</t>
        </is>
      </c>
      <c r="H79" t="inlineStr">
        <is>
          <t>既非工作亦非求學</t>
        </is>
      </c>
      <c r="K79" t="inlineStr">
        <is>
          <t>361</t>
        </is>
      </c>
      <c r="L79" t="inlineStr">
        <is>
          <t>1.1</t>
        </is>
      </c>
      <c r="M79" t="inlineStr">
        <is>
          <t>32595</t>
        </is>
      </c>
      <c r="N79" t="inlineStr">
        <is>
          <t>reported</t>
        </is>
      </c>
      <c r="O79" t="inlineStr">
        <is>
          <t>比例分母為該學校類別的有回應畢業生；參照期為10月。</t>
        </is>
      </c>
    </row>
    <row r="80">
      <c r="A80" s="15" t="inlineStr">
        <is>
          <t>EDB-S6-2024</t>
        </is>
      </c>
      <c r="B80" t="inlineStr">
        <is>
          <t>2024 Secondary 6 Students’ Pathway Survey</t>
        </is>
      </c>
      <c r="C80" t="inlineStr">
        <is>
          <t>2.1</t>
        </is>
      </c>
      <c r="D80" t="inlineStr">
        <is>
          <t>6</t>
        </is>
      </c>
      <c r="E80" t="inlineStr">
        <is>
          <t>11</t>
        </is>
      </c>
      <c r="F80" t="inlineStr">
        <is>
          <t>2024-10</t>
        </is>
      </c>
      <c r="G80" t="inlineStr">
        <is>
          <t>資助／按位津貼</t>
        </is>
      </c>
      <c r="H80" t="inlineStr">
        <is>
          <t>總數／有回應畢業生</t>
        </is>
      </c>
      <c r="K80" t="inlineStr">
        <is>
          <t>32595</t>
        </is>
      </c>
      <c r="L80" t="inlineStr">
        <is>
          <t>100.0</t>
        </is>
      </c>
      <c r="M80" t="inlineStr">
        <is>
          <t>32595</t>
        </is>
      </c>
      <c r="N80" t="inlineStr">
        <is>
          <t>reported</t>
        </is>
      </c>
      <c r="O80" t="inlineStr">
        <is>
          <t>EDB原表總數；只涵蓋有回應畢業生。</t>
        </is>
      </c>
    </row>
    <row r="81">
      <c r="A81" s="15" t="inlineStr">
        <is>
          <t>EDB-S6-2024</t>
        </is>
      </c>
      <c r="B81" t="inlineStr">
        <is>
          <t>2024 Secondary 6 Students’ Pathway Survey</t>
        </is>
      </c>
      <c r="C81" t="inlineStr">
        <is>
          <t>2.1</t>
        </is>
      </c>
      <c r="D81" t="inlineStr">
        <is>
          <t>6</t>
        </is>
      </c>
      <c r="E81" t="inlineStr">
        <is>
          <t>11</t>
        </is>
      </c>
      <c r="F81" t="inlineStr">
        <is>
          <t>2024-10</t>
        </is>
      </c>
      <c r="G81" t="inlineStr">
        <is>
          <t>資助／按位津貼</t>
        </is>
      </c>
      <c r="H81" t="inlineStr">
        <is>
          <t>部分時間工作／求學</t>
        </is>
      </c>
      <c r="K81" t="inlineStr">
        <is>
          <t>703</t>
        </is>
      </c>
      <c r="L81" t="inlineStr">
        <is>
          <t>2.2</t>
        </is>
      </c>
      <c r="M81" t="inlineStr">
        <is>
          <t>32595</t>
        </is>
      </c>
      <c r="N81" t="inlineStr">
        <is>
          <t>reported</t>
        </is>
      </c>
      <c r="O81" t="inlineStr">
        <is>
          <t>比例分母為該學校類別的有回應畢業生；參照期為10月。「部分時間工作／求學」為合併分類。</t>
        </is>
      </c>
    </row>
    <row r="82">
      <c r="A82" s="15" t="inlineStr">
        <is>
          <t>EDB-S6-2025</t>
        </is>
      </c>
      <c r="B82" t="inlineStr">
        <is>
          <t>2025 Survey on Destinations of Secondary 6 Graduates</t>
        </is>
      </c>
      <c r="C82" t="inlineStr">
        <is>
          <t>2.1</t>
        </is>
      </c>
      <c r="D82" t="inlineStr">
        <is>
          <t>6</t>
        </is>
      </c>
      <c r="E82" t="inlineStr">
        <is>
          <t>11</t>
        </is>
      </c>
      <c r="F82" t="inlineStr">
        <is>
          <t>2025-10</t>
        </is>
      </c>
      <c r="G82" t="inlineStr">
        <is>
          <t>全體回應畢業生</t>
        </is>
      </c>
      <c r="H82" t="inlineStr">
        <is>
          <t>全日制求學</t>
        </is>
      </c>
      <c r="K82" t="inlineStr">
        <is>
          <t>40948</t>
        </is>
      </c>
      <c r="L82" t="inlineStr">
        <is>
          <t>94.0</t>
        </is>
      </c>
      <c r="M82" t="inlineStr">
        <is>
          <t>43561</t>
        </is>
      </c>
      <c r="N82" t="inlineStr">
        <is>
          <t>reported</t>
        </is>
      </c>
      <c r="O82" t="inlineStr">
        <is>
          <t>百分比的分母為同一學校類別中有回應的畢業生。</t>
        </is>
      </c>
    </row>
    <row r="83">
      <c r="A83" s="15" t="inlineStr">
        <is>
          <t>EDB-S6-2025</t>
        </is>
      </c>
      <c r="B83" t="inlineStr">
        <is>
          <t>2025 Survey on Destinations of Secondary 6 Graduates</t>
        </is>
      </c>
      <c r="C83" t="inlineStr">
        <is>
          <t>2.1</t>
        </is>
      </c>
      <c r="D83" t="inlineStr">
        <is>
          <t>6</t>
        </is>
      </c>
      <c r="E83" t="inlineStr">
        <is>
          <t>11</t>
        </is>
      </c>
      <c r="F83" t="inlineStr">
        <is>
          <t>2025-10</t>
        </is>
      </c>
      <c r="G83" t="inlineStr">
        <is>
          <t>全體回應畢業生</t>
        </is>
      </c>
      <c r="H83" t="inlineStr">
        <is>
          <t>全職工作</t>
        </is>
      </c>
      <c r="K83" t="inlineStr">
        <is>
          <t>962</t>
        </is>
      </c>
      <c r="L83" t="inlineStr">
        <is>
          <t>2.2</t>
        </is>
      </c>
      <c r="M83" t="inlineStr">
        <is>
          <t>43561</t>
        </is>
      </c>
      <c r="N83" t="inlineStr">
        <is>
          <t>reported</t>
        </is>
      </c>
      <c r="O83" t="inlineStr">
        <is>
          <t>百分比的分母為同一學校類別中有回應的畢業生。</t>
        </is>
      </c>
    </row>
    <row r="84">
      <c r="A84" s="15" t="inlineStr">
        <is>
          <t>EDB-S6-2025</t>
        </is>
      </c>
      <c r="B84" t="inlineStr">
        <is>
          <t>2025 Survey on Destinations of Secondary 6 Graduates</t>
        </is>
      </c>
      <c r="C84" t="inlineStr">
        <is>
          <t>2.1</t>
        </is>
      </c>
      <c r="D84" t="inlineStr">
        <is>
          <t>6</t>
        </is>
      </c>
      <c r="E84" t="inlineStr">
        <is>
          <t>11</t>
        </is>
      </c>
      <c r="F84" t="inlineStr">
        <is>
          <t>2025-10</t>
        </is>
      </c>
      <c r="G84" t="inlineStr">
        <is>
          <t>全體回應畢業生</t>
        </is>
      </c>
      <c r="H84" t="inlineStr">
        <is>
          <t>既非工作亦非求學</t>
        </is>
      </c>
      <c r="K84" t="inlineStr">
        <is>
          <t>536</t>
        </is>
      </c>
      <c r="L84" t="inlineStr">
        <is>
          <t>1.2</t>
        </is>
      </c>
      <c r="M84" t="inlineStr">
        <is>
          <t>43561</t>
        </is>
      </c>
      <c r="N84" t="inlineStr">
        <is>
          <t>reported</t>
        </is>
      </c>
      <c r="O84" t="inlineStr">
        <is>
          <t>百分比的分母為同一學校類別中有回應的畢業生。</t>
        </is>
      </c>
    </row>
    <row r="85">
      <c r="A85" s="15" t="inlineStr">
        <is>
          <t>EDB-S6-2025</t>
        </is>
      </c>
      <c r="B85" t="inlineStr">
        <is>
          <t>2025 Survey on Destinations of Secondary 6 Graduates</t>
        </is>
      </c>
      <c r="C85" t="inlineStr">
        <is>
          <t>2.1</t>
        </is>
      </c>
      <c r="D85" t="inlineStr">
        <is>
          <t>6</t>
        </is>
      </c>
      <c r="E85" t="inlineStr">
        <is>
          <t>11</t>
        </is>
      </c>
      <c r="F85" t="inlineStr">
        <is>
          <t>2025-10</t>
        </is>
      </c>
      <c r="G85" t="inlineStr">
        <is>
          <t>全體回應畢業生</t>
        </is>
      </c>
      <c r="H85" t="inlineStr">
        <is>
          <t>總數／有回應畢業生</t>
        </is>
      </c>
      <c r="K85" t="inlineStr">
        <is>
          <t>43561</t>
        </is>
      </c>
      <c r="L85" t="inlineStr">
        <is>
          <t>100.0</t>
        </is>
      </c>
      <c r="M85" t="inlineStr">
        <is>
          <t>43561</t>
        </is>
      </c>
      <c r="N85" t="inlineStr">
        <is>
          <t>reported</t>
        </is>
      </c>
      <c r="O85" t="inlineStr">
        <is>
          <t>原表總數行。</t>
        </is>
      </c>
    </row>
    <row r="86">
      <c r="A86" s="15" t="inlineStr">
        <is>
          <t>EDB-S6-2025</t>
        </is>
      </c>
      <c r="B86" t="inlineStr">
        <is>
          <t>2025 Survey on Destinations of Secondary 6 Graduates</t>
        </is>
      </c>
      <c r="C86" t="inlineStr">
        <is>
          <t>2.1</t>
        </is>
      </c>
      <c r="D86" t="inlineStr">
        <is>
          <t>6</t>
        </is>
      </c>
      <c r="E86" t="inlineStr">
        <is>
          <t>11</t>
        </is>
      </c>
      <c r="F86" t="inlineStr">
        <is>
          <t>2025-10</t>
        </is>
      </c>
      <c r="G86" t="inlineStr">
        <is>
          <t>全體回應畢業生</t>
        </is>
      </c>
      <c r="H86" t="inlineStr">
        <is>
          <t>部分時間工作／求學</t>
        </is>
      </c>
      <c r="K86" t="inlineStr">
        <is>
          <t>1115</t>
        </is>
      </c>
      <c r="L86" t="inlineStr">
        <is>
          <t>2.6</t>
        </is>
      </c>
      <c r="M86" t="inlineStr">
        <is>
          <t>43561</t>
        </is>
      </c>
      <c r="N86" t="inlineStr">
        <is>
          <t>reported</t>
        </is>
      </c>
      <c r="O86" t="inlineStr">
        <is>
          <t>百分比的分母為同一學校類別中有回應的畢業生。</t>
        </is>
      </c>
    </row>
    <row r="87">
      <c r="A87" s="15" t="inlineStr">
        <is>
          <t>EDB-S6-2025</t>
        </is>
      </c>
      <c r="B87" t="inlineStr">
        <is>
          <t>2025 Survey on Destinations of Secondary 6 Graduates</t>
        </is>
      </c>
      <c r="C87" t="inlineStr">
        <is>
          <t>2.1</t>
        </is>
      </c>
      <c r="D87" t="inlineStr">
        <is>
          <t>6</t>
        </is>
      </c>
      <c r="E87" t="inlineStr">
        <is>
          <t>11</t>
        </is>
      </c>
      <c r="F87" t="inlineStr">
        <is>
          <t>2025-10</t>
        </is>
      </c>
      <c r="G87" t="inlineStr">
        <is>
          <t>官立</t>
        </is>
      </c>
      <c r="H87" t="inlineStr">
        <is>
          <t>全日制求學</t>
        </is>
      </c>
      <c r="K87" t="inlineStr">
        <is>
          <t>2805</t>
        </is>
      </c>
      <c r="L87" t="inlineStr">
        <is>
          <t>94.1</t>
        </is>
      </c>
      <c r="M87" t="inlineStr">
        <is>
          <t>2982</t>
        </is>
      </c>
      <c r="N87" t="inlineStr">
        <is>
          <t>reported</t>
        </is>
      </c>
      <c r="O87" t="inlineStr">
        <is>
          <t>百分比的分母為同一學校類別中有回應的畢業生。</t>
        </is>
      </c>
    </row>
    <row r="88">
      <c r="A88" s="15" t="inlineStr">
        <is>
          <t>EDB-S6-2025</t>
        </is>
      </c>
      <c r="B88" t="inlineStr">
        <is>
          <t>2025 Survey on Destinations of Secondary 6 Graduates</t>
        </is>
      </c>
      <c r="C88" t="inlineStr">
        <is>
          <t>2.1</t>
        </is>
      </c>
      <c r="D88" t="inlineStr">
        <is>
          <t>6</t>
        </is>
      </c>
      <c r="E88" t="inlineStr">
        <is>
          <t>11</t>
        </is>
      </c>
      <c r="F88" t="inlineStr">
        <is>
          <t>2025-10</t>
        </is>
      </c>
      <c r="G88" t="inlineStr">
        <is>
          <t>官立</t>
        </is>
      </c>
      <c r="H88" t="inlineStr">
        <is>
          <t>全職工作</t>
        </is>
      </c>
      <c r="K88" t="inlineStr">
        <is>
          <t>73</t>
        </is>
      </c>
      <c r="L88" t="inlineStr">
        <is>
          <t>2.4</t>
        </is>
      </c>
      <c r="M88" t="inlineStr">
        <is>
          <t>2982</t>
        </is>
      </c>
      <c r="N88" t="inlineStr">
        <is>
          <t>reported</t>
        </is>
      </c>
      <c r="O88" t="inlineStr">
        <is>
          <t>百分比的分母為同一學校類別中有回應的畢業生。</t>
        </is>
      </c>
    </row>
    <row r="89">
      <c r="A89" s="15" t="inlineStr">
        <is>
          <t>EDB-S6-2025</t>
        </is>
      </c>
      <c r="B89" t="inlineStr">
        <is>
          <t>2025 Survey on Destinations of Secondary 6 Graduates</t>
        </is>
      </c>
      <c r="C89" t="inlineStr">
        <is>
          <t>2.1</t>
        </is>
      </c>
      <c r="D89" t="inlineStr">
        <is>
          <t>6</t>
        </is>
      </c>
      <c r="E89" t="inlineStr">
        <is>
          <t>11</t>
        </is>
      </c>
      <c r="F89" t="inlineStr">
        <is>
          <t>2025-10</t>
        </is>
      </c>
      <c r="G89" t="inlineStr">
        <is>
          <t>官立</t>
        </is>
      </c>
      <c r="H89" t="inlineStr">
        <is>
          <t>既非工作亦非求學</t>
        </is>
      </c>
      <c r="K89" t="inlineStr">
        <is>
          <t>34</t>
        </is>
      </c>
      <c r="L89" t="inlineStr">
        <is>
          <t>1.1</t>
        </is>
      </c>
      <c r="M89" t="inlineStr">
        <is>
          <t>2982</t>
        </is>
      </c>
      <c r="N89" t="inlineStr">
        <is>
          <t>reported</t>
        </is>
      </c>
      <c r="O89" t="inlineStr">
        <is>
          <t>百分比的分母為同一學校類別中有回應的畢業生。</t>
        </is>
      </c>
    </row>
    <row r="90">
      <c r="A90" s="15" t="inlineStr">
        <is>
          <t>EDB-S6-2025</t>
        </is>
      </c>
      <c r="B90" t="inlineStr">
        <is>
          <t>2025 Survey on Destinations of Secondary 6 Graduates</t>
        </is>
      </c>
      <c r="C90" t="inlineStr">
        <is>
          <t>2.1</t>
        </is>
      </c>
      <c r="D90" t="inlineStr">
        <is>
          <t>6</t>
        </is>
      </c>
      <c r="E90" t="inlineStr">
        <is>
          <t>11</t>
        </is>
      </c>
      <c r="F90" t="inlineStr">
        <is>
          <t>2025-10</t>
        </is>
      </c>
      <c r="G90" t="inlineStr">
        <is>
          <t>官立</t>
        </is>
      </c>
      <c r="H90" t="inlineStr">
        <is>
          <t>總數／有回應畢業生</t>
        </is>
      </c>
      <c r="K90" t="inlineStr">
        <is>
          <t>2982</t>
        </is>
      </c>
      <c r="L90" t="inlineStr">
        <is>
          <t>100.0</t>
        </is>
      </c>
      <c r="M90" t="inlineStr">
        <is>
          <t>2982</t>
        </is>
      </c>
      <c r="N90" t="inlineStr">
        <is>
          <t>reported</t>
        </is>
      </c>
      <c r="O90" t="inlineStr">
        <is>
          <t>原表總數行。</t>
        </is>
      </c>
    </row>
    <row r="91">
      <c r="A91" s="15" t="inlineStr">
        <is>
          <t>EDB-S6-2025</t>
        </is>
      </c>
      <c r="B91" t="inlineStr">
        <is>
          <t>2025 Survey on Destinations of Secondary 6 Graduates</t>
        </is>
      </c>
      <c r="C91" t="inlineStr">
        <is>
          <t>2.1</t>
        </is>
      </c>
      <c r="D91" t="inlineStr">
        <is>
          <t>6</t>
        </is>
      </c>
      <c r="E91" t="inlineStr">
        <is>
          <t>11</t>
        </is>
      </c>
      <c r="F91" t="inlineStr">
        <is>
          <t>2025-10</t>
        </is>
      </c>
      <c r="G91" t="inlineStr">
        <is>
          <t>官立</t>
        </is>
      </c>
      <c r="H91" t="inlineStr">
        <is>
          <t>部分時間工作／求學</t>
        </is>
      </c>
      <c r="K91" t="inlineStr">
        <is>
          <t>70</t>
        </is>
      </c>
      <c r="L91" t="inlineStr">
        <is>
          <t>2.3</t>
        </is>
      </c>
      <c r="M91" t="inlineStr">
        <is>
          <t>2982</t>
        </is>
      </c>
      <c r="N91" t="inlineStr">
        <is>
          <t>reported</t>
        </is>
      </c>
      <c r="O91" t="inlineStr">
        <is>
          <t>百分比的分母為同一學校類別中有回應的畢業生。</t>
        </is>
      </c>
    </row>
    <row r="92">
      <c r="A92" s="15" t="inlineStr">
        <is>
          <t>EDB-S6-2025</t>
        </is>
      </c>
      <c r="B92" t="inlineStr">
        <is>
          <t>2025 Survey on Destinations of Secondary 6 Graduates</t>
        </is>
      </c>
      <c r="C92" t="inlineStr">
        <is>
          <t>2.1</t>
        </is>
      </c>
      <c r="D92" t="inlineStr">
        <is>
          <t>6</t>
        </is>
      </c>
      <c r="E92" t="inlineStr">
        <is>
          <t>11</t>
        </is>
      </c>
      <c r="F92" t="inlineStr">
        <is>
          <t>2025-10</t>
        </is>
      </c>
      <c r="G92" t="inlineStr">
        <is>
          <t>直資／本地私立</t>
        </is>
      </c>
      <c r="H92" t="inlineStr">
        <is>
          <t>全日制求學</t>
        </is>
      </c>
      <c r="K92" t="inlineStr">
        <is>
          <t>5806</t>
        </is>
      </c>
      <c r="L92" t="inlineStr">
        <is>
          <t>93.3</t>
        </is>
      </c>
      <c r="M92" t="inlineStr">
        <is>
          <t>6220</t>
        </is>
      </c>
      <c r="N92" t="inlineStr">
        <is>
          <t>reported</t>
        </is>
      </c>
      <c r="O92" t="inlineStr">
        <is>
          <t>百分比的分母為同一學校類別中有回應的畢業生。</t>
        </is>
      </c>
    </row>
    <row r="93">
      <c r="A93" s="15" t="inlineStr">
        <is>
          <t>EDB-S6-2025</t>
        </is>
      </c>
      <c r="B93" t="inlineStr">
        <is>
          <t>2025 Survey on Destinations of Secondary 6 Graduates</t>
        </is>
      </c>
      <c r="C93" t="inlineStr">
        <is>
          <t>2.1</t>
        </is>
      </c>
      <c r="D93" t="inlineStr">
        <is>
          <t>6</t>
        </is>
      </c>
      <c r="E93" t="inlineStr">
        <is>
          <t>11</t>
        </is>
      </c>
      <c r="F93" t="inlineStr">
        <is>
          <t>2025-10</t>
        </is>
      </c>
      <c r="G93" t="inlineStr">
        <is>
          <t>直資／本地私立</t>
        </is>
      </c>
      <c r="H93" t="inlineStr">
        <is>
          <t>全職工作</t>
        </is>
      </c>
      <c r="K93" t="inlineStr">
        <is>
          <t>167</t>
        </is>
      </c>
      <c r="L93" t="inlineStr">
        <is>
          <t>2.7</t>
        </is>
      </c>
      <c r="M93" t="inlineStr">
        <is>
          <t>6220</t>
        </is>
      </c>
      <c r="N93" t="inlineStr">
        <is>
          <t>reported</t>
        </is>
      </c>
      <c r="O93" t="inlineStr">
        <is>
          <t>百分比的分母為同一學校類別中有回應的畢業生。</t>
        </is>
      </c>
    </row>
    <row r="94">
      <c r="A94" s="15" t="inlineStr">
        <is>
          <t>EDB-S6-2025</t>
        </is>
      </c>
      <c r="B94" t="inlineStr">
        <is>
          <t>2025 Survey on Destinations of Secondary 6 Graduates</t>
        </is>
      </c>
      <c r="C94" t="inlineStr">
        <is>
          <t>2.1</t>
        </is>
      </c>
      <c r="D94" t="inlineStr">
        <is>
          <t>6</t>
        </is>
      </c>
      <c r="E94" t="inlineStr">
        <is>
          <t>11</t>
        </is>
      </c>
      <c r="F94" t="inlineStr">
        <is>
          <t>2025-10</t>
        </is>
      </c>
      <c r="G94" t="inlineStr">
        <is>
          <t>直資／本地私立</t>
        </is>
      </c>
      <c r="H94" t="inlineStr">
        <is>
          <t>既非工作亦非求學</t>
        </is>
      </c>
      <c r="K94" t="inlineStr">
        <is>
          <t>96</t>
        </is>
      </c>
      <c r="L94" t="inlineStr">
        <is>
          <t>1.5</t>
        </is>
      </c>
      <c r="M94" t="inlineStr">
        <is>
          <t>6220</t>
        </is>
      </c>
      <c r="N94" t="inlineStr">
        <is>
          <t>reported</t>
        </is>
      </c>
      <c r="O94" t="inlineStr">
        <is>
          <t>百分比的分母為同一學校類別中有回應的畢業生。</t>
        </is>
      </c>
    </row>
    <row r="95">
      <c r="A95" s="15" t="inlineStr">
        <is>
          <t>EDB-S6-2025</t>
        </is>
      </c>
      <c r="B95" t="inlineStr">
        <is>
          <t>2025 Survey on Destinations of Secondary 6 Graduates</t>
        </is>
      </c>
      <c r="C95" t="inlineStr">
        <is>
          <t>2.1</t>
        </is>
      </c>
      <c r="D95" t="inlineStr">
        <is>
          <t>6</t>
        </is>
      </c>
      <c r="E95" t="inlineStr">
        <is>
          <t>11</t>
        </is>
      </c>
      <c r="F95" t="inlineStr">
        <is>
          <t>2025-10</t>
        </is>
      </c>
      <c r="G95" t="inlineStr">
        <is>
          <t>直資／本地私立</t>
        </is>
      </c>
      <c r="H95" t="inlineStr">
        <is>
          <t>總數／有回應畢業生</t>
        </is>
      </c>
      <c r="K95" t="inlineStr">
        <is>
          <t>6220</t>
        </is>
      </c>
      <c r="L95" t="inlineStr">
        <is>
          <t>100.0</t>
        </is>
      </c>
      <c r="M95" t="inlineStr">
        <is>
          <t>6220</t>
        </is>
      </c>
      <c r="N95" t="inlineStr">
        <is>
          <t>reported</t>
        </is>
      </c>
      <c r="O95" t="inlineStr">
        <is>
          <t>原表總數行。</t>
        </is>
      </c>
    </row>
    <row r="96">
      <c r="A96" s="15" t="inlineStr">
        <is>
          <t>EDB-S6-2025</t>
        </is>
      </c>
      <c r="B96" t="inlineStr">
        <is>
          <t>2025 Survey on Destinations of Secondary 6 Graduates</t>
        </is>
      </c>
      <c r="C96" t="inlineStr">
        <is>
          <t>2.1</t>
        </is>
      </c>
      <c r="D96" t="inlineStr">
        <is>
          <t>6</t>
        </is>
      </c>
      <c r="E96" t="inlineStr">
        <is>
          <t>11</t>
        </is>
      </c>
      <c r="F96" t="inlineStr">
        <is>
          <t>2025-10</t>
        </is>
      </c>
      <c r="G96" t="inlineStr">
        <is>
          <t>直資／本地私立</t>
        </is>
      </c>
      <c r="H96" t="inlineStr">
        <is>
          <t>部分時間工作／求學</t>
        </is>
      </c>
      <c r="K96" t="inlineStr">
        <is>
          <t>151</t>
        </is>
      </c>
      <c r="L96" t="inlineStr">
        <is>
          <t>2.4</t>
        </is>
      </c>
      <c r="M96" t="inlineStr">
        <is>
          <t>6220</t>
        </is>
      </c>
      <c r="N96" t="inlineStr">
        <is>
          <t>reported</t>
        </is>
      </c>
      <c r="O96" t="inlineStr">
        <is>
          <t>百分比的分母為同一學校類別中有回應的畢業生。</t>
        </is>
      </c>
    </row>
    <row r="97">
      <c r="A97" s="15" t="inlineStr">
        <is>
          <t>EDB-S6-2025</t>
        </is>
      </c>
      <c r="B97" t="inlineStr">
        <is>
          <t>2025 Survey on Destinations of Secondary 6 Graduates</t>
        </is>
      </c>
      <c r="C97" t="inlineStr">
        <is>
          <t>2.1</t>
        </is>
      </c>
      <c r="D97" t="inlineStr">
        <is>
          <t>6</t>
        </is>
      </c>
      <c r="E97" t="inlineStr">
        <is>
          <t>11</t>
        </is>
      </c>
      <c r="F97" t="inlineStr">
        <is>
          <t>2025-10</t>
        </is>
      </c>
      <c r="G97" t="inlineStr">
        <is>
          <t>資助／按位津貼</t>
        </is>
      </c>
      <c r="H97" t="inlineStr">
        <is>
          <t>全日制求學</t>
        </is>
      </c>
      <c r="K97" t="inlineStr">
        <is>
          <t>32337</t>
        </is>
      </c>
      <c r="L97" t="inlineStr">
        <is>
          <t>94.1</t>
        </is>
      </c>
      <c r="M97" t="inlineStr">
        <is>
          <t>34359</t>
        </is>
      </c>
      <c r="N97" t="inlineStr">
        <is>
          <t>reported</t>
        </is>
      </c>
      <c r="O97" t="inlineStr">
        <is>
          <t>百分比的分母為同一學校類別中有回應的畢業生。</t>
        </is>
      </c>
    </row>
    <row r="98">
      <c r="A98" s="15" t="inlineStr">
        <is>
          <t>EDB-S6-2025</t>
        </is>
      </c>
      <c r="B98" t="inlineStr">
        <is>
          <t>2025 Survey on Destinations of Secondary 6 Graduates</t>
        </is>
      </c>
      <c r="C98" t="inlineStr">
        <is>
          <t>2.1</t>
        </is>
      </c>
      <c r="D98" t="inlineStr">
        <is>
          <t>6</t>
        </is>
      </c>
      <c r="E98" t="inlineStr">
        <is>
          <t>11</t>
        </is>
      </c>
      <c r="F98" t="inlineStr">
        <is>
          <t>2025-10</t>
        </is>
      </c>
      <c r="G98" t="inlineStr">
        <is>
          <t>資助／按位津貼</t>
        </is>
      </c>
      <c r="H98" t="inlineStr">
        <is>
          <t>全職工作</t>
        </is>
      </c>
      <c r="K98" t="inlineStr">
        <is>
          <t>722</t>
        </is>
      </c>
      <c r="L98" t="inlineStr">
        <is>
          <t>2.1</t>
        </is>
      </c>
      <c r="M98" t="inlineStr">
        <is>
          <t>34359</t>
        </is>
      </c>
      <c r="N98" t="inlineStr">
        <is>
          <t>reported</t>
        </is>
      </c>
      <c r="O98" t="inlineStr">
        <is>
          <t>百分比的分母為同一學校類別中有回應的畢業生。</t>
        </is>
      </c>
    </row>
    <row r="99">
      <c r="A99" s="15" t="inlineStr">
        <is>
          <t>EDB-S6-2025</t>
        </is>
      </c>
      <c r="B99" t="inlineStr">
        <is>
          <t>2025 Survey on Destinations of Secondary 6 Graduates</t>
        </is>
      </c>
      <c r="C99" t="inlineStr">
        <is>
          <t>2.1</t>
        </is>
      </c>
      <c r="D99" t="inlineStr">
        <is>
          <t>6</t>
        </is>
      </c>
      <c r="E99" t="inlineStr">
        <is>
          <t>11</t>
        </is>
      </c>
      <c r="F99" t="inlineStr">
        <is>
          <t>2025-10</t>
        </is>
      </c>
      <c r="G99" t="inlineStr">
        <is>
          <t>資助／按位津貼</t>
        </is>
      </c>
      <c r="H99" t="inlineStr">
        <is>
          <t>既非工作亦非求學</t>
        </is>
      </c>
      <c r="K99" t="inlineStr">
        <is>
          <t>406</t>
        </is>
      </c>
      <c r="L99" t="inlineStr">
        <is>
          <t>1.2</t>
        </is>
      </c>
      <c r="M99" t="inlineStr">
        <is>
          <t>34359</t>
        </is>
      </c>
      <c r="N99" t="inlineStr">
        <is>
          <t>reported</t>
        </is>
      </c>
      <c r="O99" t="inlineStr">
        <is>
          <t>百分比的分母為同一學校類別中有回應的畢業生。</t>
        </is>
      </c>
    </row>
    <row r="100">
      <c r="A100" s="15" t="inlineStr">
        <is>
          <t>EDB-S6-2025</t>
        </is>
      </c>
      <c r="B100" t="inlineStr">
        <is>
          <t>2025 Survey on Destinations of Secondary 6 Graduates</t>
        </is>
      </c>
      <c r="C100" t="inlineStr">
        <is>
          <t>2.1</t>
        </is>
      </c>
      <c r="D100" t="inlineStr">
        <is>
          <t>6</t>
        </is>
      </c>
      <c r="E100" t="inlineStr">
        <is>
          <t>11</t>
        </is>
      </c>
      <c r="F100" t="inlineStr">
        <is>
          <t>2025-10</t>
        </is>
      </c>
      <c r="G100" t="inlineStr">
        <is>
          <t>資助／按位津貼</t>
        </is>
      </c>
      <c r="H100" t="inlineStr">
        <is>
          <t>總數／有回應畢業生</t>
        </is>
      </c>
      <c r="K100" t="inlineStr">
        <is>
          <t>34359</t>
        </is>
      </c>
      <c r="L100" t="inlineStr">
        <is>
          <t>100.0</t>
        </is>
      </c>
      <c r="M100" t="inlineStr">
        <is>
          <t>34359</t>
        </is>
      </c>
      <c r="N100" t="inlineStr">
        <is>
          <t>reported</t>
        </is>
      </c>
      <c r="O100" t="inlineStr">
        <is>
          <t>原表總數行。</t>
        </is>
      </c>
    </row>
    <row r="101">
      <c r="A101" s="15" t="inlineStr">
        <is>
          <t>EDB-S6-2025</t>
        </is>
      </c>
      <c r="B101" t="inlineStr">
        <is>
          <t>2025 Survey on Destinations of Secondary 6 Graduates</t>
        </is>
      </c>
      <c r="C101" t="inlineStr">
        <is>
          <t>2.1</t>
        </is>
      </c>
      <c r="D101" t="inlineStr">
        <is>
          <t>6</t>
        </is>
      </c>
      <c r="E101" t="inlineStr">
        <is>
          <t>11</t>
        </is>
      </c>
      <c r="F101" t="inlineStr">
        <is>
          <t>2025-10</t>
        </is>
      </c>
      <c r="G101" t="inlineStr">
        <is>
          <t>資助／按位津貼</t>
        </is>
      </c>
      <c r="H101" t="inlineStr">
        <is>
          <t>部分時間工作／求學</t>
        </is>
      </c>
      <c r="K101" t="inlineStr">
        <is>
          <t>894</t>
        </is>
      </c>
      <c r="L101" t="inlineStr">
        <is>
          <t>2.6</t>
        </is>
      </c>
      <c r="M101" t="inlineStr">
        <is>
          <t>34359</t>
        </is>
      </c>
      <c r="N101" t="inlineStr">
        <is>
          <t>reported</t>
        </is>
      </c>
      <c r="O101" t="inlineStr">
        <is>
          <t>百分比的分母為同一學校類別中有回應的畢業生。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4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72" customWidth="1" min="15" max="15"/>
  </cols>
  <sheetData>
    <row r="1" ht="32" customHeight="1">
      <c r="A1" s="10" t="inlineStr">
        <is>
          <t>source_id</t>
        </is>
      </c>
      <c r="B1" s="10" t="inlineStr">
        <is>
          <t>source_document</t>
        </is>
      </c>
      <c r="C1" s="10" t="inlineStr">
        <is>
          <t>table_id</t>
        </is>
      </c>
      <c r="D1" s="10" t="inlineStr">
        <is>
          <t>printed_page</t>
        </is>
      </c>
      <c r="E1" s="10" t="inlineStr">
        <is>
          <t>pdf_page</t>
        </is>
      </c>
      <c r="F1" s="10" t="inlineStr">
        <is>
          <t>reference_period</t>
        </is>
      </c>
      <c r="G1" s="10" t="inlineStr">
        <is>
          <t>school_sector</t>
        </is>
      </c>
      <c r="H1" s="10" t="inlineStr">
        <is>
          <t>activity_status</t>
        </is>
      </c>
      <c r="I1" s="10" t="inlineStr">
        <is>
          <t>programme_type</t>
        </is>
      </c>
      <c r="J1" s="10" t="inlineStr">
        <is>
          <t>place_of_study</t>
        </is>
      </c>
      <c r="K1" s="10" t="inlineStr">
        <is>
          <t>count_reported</t>
        </is>
      </c>
      <c r="L1" s="10" t="inlineStr">
        <is>
          <t>proportion_reported</t>
        </is>
      </c>
      <c r="M1" s="10" t="inlineStr">
        <is>
          <t>denominator</t>
        </is>
      </c>
      <c r="N1" s="10" t="inlineStr">
        <is>
          <t>cell_status</t>
        </is>
      </c>
      <c r="O1" t="inlineStr">
        <is>
          <t>notes</t>
        </is>
      </c>
    </row>
    <row r="2" ht="33" customHeight="1">
      <c r="A2" s="15" t="inlineStr">
        <is>
          <t>EDB-S6-2021</t>
        </is>
      </c>
      <c r="B2" t="inlineStr">
        <is>
          <t>2021 Secondary 6 Students’ Pathway Survey</t>
        </is>
      </c>
      <c r="C2" t="inlineStr">
        <is>
          <t>2.2</t>
        </is>
      </c>
      <c r="D2" t="inlineStr">
        <is>
          <t>9</t>
        </is>
      </c>
      <c r="E2" t="inlineStr">
        <is>
          <t>14</t>
        </is>
      </c>
      <c r="F2" t="inlineStr">
        <is>
          <t>2021-10</t>
        </is>
      </c>
      <c r="G2" t="inlineStr">
        <is>
          <t>全體回應畢業生</t>
        </is>
      </c>
      <c r="I2" t="inlineStr">
        <is>
          <t>中六課程</t>
        </is>
      </c>
      <c r="K2" t="inlineStr">
        <is>
          <t>178</t>
        </is>
      </c>
      <c r="L2" t="inlineStr">
        <is>
          <t>0.5</t>
        </is>
      </c>
      <c r="M2" t="inlineStr">
        <is>
          <t>39531</t>
        </is>
      </c>
      <c r="N2" t="inlineStr">
        <is>
          <t>reported</t>
        </is>
      </c>
      <c r="O2" t="inlineStr">
        <is>
          <t>比例分母為同一學校類別中繼續全日制求學者。學士／專上課程的EDB註釋涵蓋公帑資助、自資及海外院校；詳見對應年度原報告。</t>
        </is>
      </c>
    </row>
    <row r="3" ht="33" customHeight="1">
      <c r="A3" s="15" t="inlineStr">
        <is>
          <t>EDB-S6-2021</t>
        </is>
      </c>
      <c r="B3" t="inlineStr">
        <is>
          <t>2021 Secondary 6 Students’ Pathway Survey</t>
        </is>
      </c>
      <c r="C3" t="inlineStr">
        <is>
          <t>2.2</t>
        </is>
      </c>
      <c r="D3" t="inlineStr">
        <is>
          <t>9</t>
        </is>
      </c>
      <c r="E3" t="inlineStr">
        <is>
          <t>14</t>
        </is>
      </c>
      <c r="F3" t="inlineStr">
        <is>
          <t>2021-10</t>
        </is>
      </c>
      <c r="G3" t="inlineStr">
        <is>
          <t>全體回應畢業生</t>
        </is>
      </c>
      <c r="I3" t="inlineStr">
        <is>
          <t>其他全日制課程</t>
        </is>
      </c>
      <c r="K3" t="inlineStr">
        <is>
          <t>7792</t>
        </is>
      </c>
      <c r="L3" t="inlineStr">
        <is>
          <t>19.7</t>
        </is>
      </c>
      <c r="M3" t="inlineStr">
        <is>
          <t>39531</t>
        </is>
      </c>
      <c r="N3" t="inlineStr">
        <is>
          <t>reported</t>
        </is>
      </c>
      <c r="O3" t="inlineStr">
        <is>
          <t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t>
        </is>
      </c>
    </row>
    <row r="4" ht="33" customHeight="1">
      <c r="A4" s="15" t="inlineStr">
        <is>
          <t>EDB-S6-2021</t>
        </is>
      </c>
      <c r="B4" t="inlineStr">
        <is>
          <t>2021 Secondary 6 Students’ Pathway Survey</t>
        </is>
      </c>
      <c r="C4" t="inlineStr">
        <is>
          <t>2.2</t>
        </is>
      </c>
      <c r="D4" t="inlineStr">
        <is>
          <t>9</t>
        </is>
      </c>
      <c r="E4" t="inlineStr">
        <is>
          <t>14</t>
        </is>
      </c>
      <c r="F4" t="inlineStr">
        <is>
          <t>2021-10</t>
        </is>
      </c>
      <c r="G4" t="inlineStr">
        <is>
          <t>全體回應畢業生</t>
        </is>
      </c>
      <c r="I4" t="inlineStr">
        <is>
          <t>學士學位課程</t>
        </is>
      </c>
      <c r="K4" t="inlineStr">
        <is>
          <t>19692</t>
        </is>
      </c>
      <c r="L4" t="inlineStr">
        <is>
          <t>49.8</t>
        </is>
      </c>
      <c r="M4" t="inlineStr">
        <is>
          <t>39531</t>
        </is>
      </c>
      <c r="N4" t="inlineStr">
        <is>
          <t>reported</t>
        </is>
      </c>
      <c r="O4" t="inlineStr">
        <is>
          <t>比例分母為同一學校類別中繼續全日制求學者。學士／專上課程的EDB註釋涵蓋公帑資助、自資及海外院校；詳見對應年度原報告。</t>
        </is>
      </c>
    </row>
    <row r="5" ht="33" customHeight="1">
      <c r="A5" s="15" t="inlineStr">
        <is>
          <t>EDB-S6-2021</t>
        </is>
      </c>
      <c r="B5" t="inlineStr">
        <is>
          <t>2021 Secondary 6 Students’ Pathway Survey</t>
        </is>
      </c>
      <c r="C5" t="inlineStr">
        <is>
          <t>2.2</t>
        </is>
      </c>
      <c r="D5" t="inlineStr">
        <is>
          <t>9</t>
        </is>
      </c>
      <c r="E5" t="inlineStr">
        <is>
          <t>14</t>
        </is>
      </c>
      <c r="F5" t="inlineStr">
        <is>
          <t>2021-10</t>
        </is>
      </c>
      <c r="G5" t="inlineStr">
        <is>
          <t>全體回應畢業生</t>
        </is>
      </c>
      <c r="I5" t="inlineStr">
        <is>
          <t>專上課程（副學士／高級文憑）</t>
        </is>
      </c>
      <c r="K5" t="inlineStr">
        <is>
          <t>11869</t>
        </is>
      </c>
      <c r="L5" t="inlineStr">
        <is>
          <t>30.0</t>
        </is>
      </c>
      <c r="M5" t="inlineStr">
        <is>
          <t>39531</t>
        </is>
      </c>
      <c r="N5" t="inlineStr">
        <is>
          <t>reported</t>
        </is>
      </c>
      <c r="O5" t="inlineStr">
        <is>
          <t>比例分母為同一學校類別中繼續全日制求學者。學士／專上課程的EDB註釋涵蓋公帑資助、自資及海外院校；詳見對應年度原報告。</t>
        </is>
      </c>
    </row>
    <row r="6" ht="33" customHeight="1">
      <c r="A6" s="15" t="inlineStr">
        <is>
          <t>EDB-S6-2021</t>
        </is>
      </c>
      <c r="B6" t="inlineStr">
        <is>
          <t>2021 Secondary 6 Students’ Pathway Survey</t>
        </is>
      </c>
      <c r="C6" t="inlineStr">
        <is>
          <t>2.2</t>
        </is>
      </c>
      <c r="D6" t="inlineStr">
        <is>
          <t>9</t>
        </is>
      </c>
      <c r="E6" t="inlineStr">
        <is>
          <t>14</t>
        </is>
      </c>
      <c r="F6" t="inlineStr">
        <is>
          <t>2021-10</t>
        </is>
      </c>
      <c r="G6" t="inlineStr">
        <is>
          <t>全體回應畢業生</t>
        </is>
      </c>
      <c r="I6" t="inlineStr">
        <is>
          <t>總數／全日制求學者</t>
        </is>
      </c>
      <c r="K6" t="inlineStr">
        <is>
          <t>39531</t>
        </is>
      </c>
      <c r="L6" t="inlineStr">
        <is>
          <t>100.0</t>
        </is>
      </c>
      <c r="M6" t="inlineStr">
        <is>
          <t>39531</t>
        </is>
      </c>
      <c r="N6" t="inlineStr">
        <is>
          <t>reported</t>
        </is>
      </c>
      <c r="O6" t="inlineStr">
        <is>
          <t>EDB原表總數行；分母為該類別全日制求學者。</t>
        </is>
      </c>
    </row>
    <row r="7" ht="33" customHeight="1">
      <c r="A7" s="15" t="inlineStr">
        <is>
          <t>EDB-S6-2021</t>
        </is>
      </c>
      <c r="B7" t="inlineStr">
        <is>
          <t>2021 Secondary 6 Students’ Pathway Survey</t>
        </is>
      </c>
      <c r="C7" t="inlineStr">
        <is>
          <t>2.2</t>
        </is>
      </c>
      <c r="D7" t="inlineStr">
        <is>
          <t>9</t>
        </is>
      </c>
      <c r="E7" t="inlineStr">
        <is>
          <t>14</t>
        </is>
      </c>
      <c r="F7" t="inlineStr">
        <is>
          <t>2021-10</t>
        </is>
      </c>
      <c r="G7" t="inlineStr">
        <is>
          <t>官立</t>
        </is>
      </c>
      <c r="I7" t="inlineStr">
        <is>
          <t>中六課程</t>
        </is>
      </c>
      <c r="K7" t="inlineStr">
        <is>
          <t>8</t>
        </is>
      </c>
      <c r="L7" t="inlineStr">
        <is>
          <t>0.3</t>
        </is>
      </c>
      <c r="M7" t="inlineStr">
        <is>
          <t>2887</t>
        </is>
      </c>
      <c r="N7" t="inlineStr">
        <is>
          <t>reported</t>
        </is>
      </c>
      <c r="O7" t="inlineStr">
        <is>
          <t>比例分母為同一學校類別中繼續全日制求學者。學士／專上課程的EDB註釋涵蓋公帑資助、自資及海外院校；詳見對應年度原報告。</t>
        </is>
      </c>
    </row>
    <row r="8" ht="33" customHeight="1">
      <c r="A8" s="15" t="inlineStr">
        <is>
          <t>EDB-S6-2021</t>
        </is>
      </c>
      <c r="B8" t="inlineStr">
        <is>
          <t>2021 Secondary 6 Students’ Pathway Survey</t>
        </is>
      </c>
      <c r="C8" t="inlineStr">
        <is>
          <t>2.2</t>
        </is>
      </c>
      <c r="D8" t="inlineStr">
        <is>
          <t>9</t>
        </is>
      </c>
      <c r="E8" t="inlineStr">
        <is>
          <t>14</t>
        </is>
      </c>
      <c r="F8" t="inlineStr">
        <is>
          <t>2021-10</t>
        </is>
      </c>
      <c r="G8" t="inlineStr">
        <is>
          <t>官立</t>
        </is>
      </c>
      <c r="I8" t="inlineStr">
        <is>
          <t>其他全日制課程</t>
        </is>
      </c>
      <c r="K8" t="inlineStr">
        <is>
          <t>490</t>
        </is>
      </c>
      <c r="L8" t="inlineStr">
        <is>
          <t>17.0</t>
        </is>
      </c>
      <c r="M8" t="inlineStr">
        <is>
          <t>2887</t>
        </is>
      </c>
      <c r="N8" t="inlineStr">
        <is>
          <t>reported</t>
        </is>
      </c>
      <c r="O8" t="inlineStr">
        <is>
          <t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t>
        </is>
      </c>
    </row>
    <row r="9" ht="33" customHeight="1">
      <c r="A9" s="15" t="inlineStr">
        <is>
          <t>EDB-S6-2021</t>
        </is>
      </c>
      <c r="B9" t="inlineStr">
        <is>
          <t>2021 Secondary 6 Students’ Pathway Survey</t>
        </is>
      </c>
      <c r="C9" t="inlineStr">
        <is>
          <t>2.2</t>
        </is>
      </c>
      <c r="D9" t="inlineStr">
        <is>
          <t>9</t>
        </is>
      </c>
      <c r="E9" t="inlineStr">
        <is>
          <t>14</t>
        </is>
      </c>
      <c r="F9" t="inlineStr">
        <is>
          <t>2021-10</t>
        </is>
      </c>
      <c r="G9" t="inlineStr">
        <is>
          <t>官立</t>
        </is>
      </c>
      <c r="I9" t="inlineStr">
        <is>
          <t>學士學位課程</t>
        </is>
      </c>
      <c r="K9" t="inlineStr">
        <is>
          <t>1508</t>
        </is>
      </c>
      <c r="L9" t="inlineStr">
        <is>
          <t>52.2</t>
        </is>
      </c>
      <c r="M9" t="inlineStr">
        <is>
          <t>2887</t>
        </is>
      </c>
      <c r="N9" t="inlineStr">
        <is>
          <t>reported</t>
        </is>
      </c>
      <c r="O9" t="inlineStr">
        <is>
          <t>比例分母為同一學校類別中繼續全日制求學者。學士／專上課程的EDB註釋涵蓋公帑資助、自資及海外院校；詳見對應年度原報告。</t>
        </is>
      </c>
    </row>
    <row r="10" ht="33" customHeight="1">
      <c r="A10" s="15" t="inlineStr">
        <is>
          <t>EDB-S6-2021</t>
        </is>
      </c>
      <c r="B10" t="inlineStr">
        <is>
          <t>2021 Secondary 6 Students’ Pathway Survey</t>
        </is>
      </c>
      <c r="C10" t="inlineStr">
        <is>
          <t>2.2</t>
        </is>
      </c>
      <c r="D10" t="inlineStr">
        <is>
          <t>9</t>
        </is>
      </c>
      <c r="E10" t="inlineStr">
        <is>
          <t>14</t>
        </is>
      </c>
      <c r="F10" t="inlineStr">
        <is>
          <t>2021-10</t>
        </is>
      </c>
      <c r="G10" t="inlineStr">
        <is>
          <t>官立</t>
        </is>
      </c>
      <c r="I10" t="inlineStr">
        <is>
          <t>專上課程（副學士／高級文憑）</t>
        </is>
      </c>
      <c r="K10" t="inlineStr">
        <is>
          <t>881</t>
        </is>
      </c>
      <c r="L10" t="inlineStr">
        <is>
          <t>30.5</t>
        </is>
      </c>
      <c r="M10" t="inlineStr">
        <is>
          <t>2887</t>
        </is>
      </c>
      <c r="N10" t="inlineStr">
        <is>
          <t>reported</t>
        </is>
      </c>
      <c r="O10" t="inlineStr">
        <is>
          <t>比例分母為同一學校類別中繼續全日制求學者。學士／專上課程的EDB註釋涵蓋公帑資助、自資及海外院校；詳見對應年度原報告。</t>
        </is>
      </c>
    </row>
    <row r="11" ht="33" customHeight="1">
      <c r="A11" s="15" t="inlineStr">
        <is>
          <t>EDB-S6-2021</t>
        </is>
      </c>
      <c r="B11" t="inlineStr">
        <is>
          <t>2021 Secondary 6 Students’ Pathway Survey</t>
        </is>
      </c>
      <c r="C11" t="inlineStr">
        <is>
          <t>2.2</t>
        </is>
      </c>
      <c r="D11" t="inlineStr">
        <is>
          <t>9</t>
        </is>
      </c>
      <c r="E11" t="inlineStr">
        <is>
          <t>14</t>
        </is>
      </c>
      <c r="F11" t="inlineStr">
        <is>
          <t>2021-10</t>
        </is>
      </c>
      <c r="G11" t="inlineStr">
        <is>
          <t>官立</t>
        </is>
      </c>
      <c r="I11" t="inlineStr">
        <is>
          <t>總數／全日制求學者</t>
        </is>
      </c>
      <c r="K11" t="inlineStr">
        <is>
          <t>2887</t>
        </is>
      </c>
      <c r="L11" t="inlineStr">
        <is>
          <t>100.0</t>
        </is>
      </c>
      <c r="M11" t="inlineStr">
        <is>
          <t>2887</t>
        </is>
      </c>
      <c r="N11" t="inlineStr">
        <is>
          <t>reported</t>
        </is>
      </c>
      <c r="O11" t="inlineStr">
        <is>
          <t>EDB原表總數行；分母為該類別全日制求學者。</t>
        </is>
      </c>
    </row>
    <row r="12" ht="33" customHeight="1">
      <c r="A12" s="15" t="inlineStr">
        <is>
          <t>EDB-S6-2021</t>
        </is>
      </c>
      <c r="B12" t="inlineStr">
        <is>
          <t>2021 Secondary 6 Students’ Pathway Survey</t>
        </is>
      </c>
      <c r="C12" t="inlineStr">
        <is>
          <t>2.2</t>
        </is>
      </c>
      <c r="D12" t="inlineStr">
        <is>
          <t>9</t>
        </is>
      </c>
      <c r="E12" t="inlineStr">
        <is>
          <t>14</t>
        </is>
      </c>
      <c r="F12" t="inlineStr">
        <is>
          <t>2021-10</t>
        </is>
      </c>
      <c r="G12" t="inlineStr">
        <is>
          <t>直資／本地私立</t>
        </is>
      </c>
      <c r="I12" t="inlineStr">
        <is>
          <t>中六課程</t>
        </is>
      </c>
      <c r="K12" t="inlineStr">
        <is>
          <t>61</t>
        </is>
      </c>
      <c r="L12" t="inlineStr">
        <is>
          <t>1.1</t>
        </is>
      </c>
      <c r="M12" t="inlineStr">
        <is>
          <t>5580</t>
        </is>
      </c>
      <c r="N12" t="inlineStr">
        <is>
          <t>reported</t>
        </is>
      </c>
      <c r="O12" t="inlineStr">
        <is>
          <t>比例分母為同一學校類別中繼續全日制求學者。學士／專上課程的EDB註釋涵蓋公帑資助、自資及海外院校；詳見對應年度原報告。</t>
        </is>
      </c>
    </row>
    <row r="13" ht="33" customHeight="1">
      <c r="A13" s="15" t="inlineStr">
        <is>
          <t>EDB-S6-2021</t>
        </is>
      </c>
      <c r="B13" t="inlineStr">
        <is>
          <t>2021 Secondary 6 Students’ Pathway Survey</t>
        </is>
      </c>
      <c r="C13" t="inlineStr">
        <is>
          <t>2.2</t>
        </is>
      </c>
      <c r="D13" t="inlineStr">
        <is>
          <t>9</t>
        </is>
      </c>
      <c r="E13" t="inlineStr">
        <is>
          <t>14</t>
        </is>
      </c>
      <c r="F13" t="inlineStr">
        <is>
          <t>2021-10</t>
        </is>
      </c>
      <c r="G13" t="inlineStr">
        <is>
          <t>直資／本地私立</t>
        </is>
      </c>
      <c r="I13" t="inlineStr">
        <is>
          <t>其他全日制課程</t>
        </is>
      </c>
      <c r="K13" t="inlineStr">
        <is>
          <t>953</t>
        </is>
      </c>
      <c r="L13" t="inlineStr">
        <is>
          <t>17.1</t>
        </is>
      </c>
      <c r="M13" t="inlineStr">
        <is>
          <t>5580</t>
        </is>
      </c>
      <c r="N13" t="inlineStr">
        <is>
          <t>reported</t>
        </is>
      </c>
      <c r="O13" t="inlineStr">
        <is>
          <t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t>
        </is>
      </c>
    </row>
    <row r="14" ht="33" customHeight="1">
      <c r="A14" s="15" t="inlineStr">
        <is>
          <t>EDB-S6-2021</t>
        </is>
      </c>
      <c r="B14" t="inlineStr">
        <is>
          <t>2021 Secondary 6 Students’ Pathway Survey</t>
        </is>
      </c>
      <c r="C14" t="inlineStr">
        <is>
          <t>2.2</t>
        </is>
      </c>
      <c r="D14" t="inlineStr">
        <is>
          <t>9</t>
        </is>
      </c>
      <c r="E14" t="inlineStr">
        <is>
          <t>14</t>
        </is>
      </c>
      <c r="F14" t="inlineStr">
        <is>
          <t>2021-10</t>
        </is>
      </c>
      <c r="G14" t="inlineStr">
        <is>
          <t>直資／本地私立</t>
        </is>
      </c>
      <c r="I14" t="inlineStr">
        <is>
          <t>學士學位課程</t>
        </is>
      </c>
      <c r="K14" t="inlineStr">
        <is>
          <t>3261</t>
        </is>
      </c>
      <c r="L14" t="inlineStr">
        <is>
          <t>58.4</t>
        </is>
      </c>
      <c r="M14" t="inlineStr">
        <is>
          <t>5580</t>
        </is>
      </c>
      <c r="N14" t="inlineStr">
        <is>
          <t>reported</t>
        </is>
      </c>
      <c r="O14" t="inlineStr">
        <is>
          <t>比例分母為同一學校類別中繼續全日制求學者。學士／專上課程的EDB註釋涵蓋公帑資助、自資及海外院校；詳見對應年度原報告。</t>
        </is>
      </c>
    </row>
    <row r="15" ht="33" customHeight="1">
      <c r="A15" s="15" t="inlineStr">
        <is>
          <t>EDB-S6-2021</t>
        </is>
      </c>
      <c r="B15" t="inlineStr">
        <is>
          <t>2021 Secondary 6 Students’ Pathway Survey</t>
        </is>
      </c>
      <c r="C15" t="inlineStr">
        <is>
          <t>2.2</t>
        </is>
      </c>
      <c r="D15" t="inlineStr">
        <is>
          <t>9</t>
        </is>
      </c>
      <c r="E15" t="inlineStr">
        <is>
          <t>14</t>
        </is>
      </c>
      <c r="F15" t="inlineStr">
        <is>
          <t>2021-10</t>
        </is>
      </c>
      <c r="G15" t="inlineStr">
        <is>
          <t>直資／本地私立</t>
        </is>
      </c>
      <c r="I15" t="inlineStr">
        <is>
          <t>專上課程（副學士／高級文憑）</t>
        </is>
      </c>
      <c r="K15" t="inlineStr">
        <is>
          <t>1305</t>
        </is>
      </c>
      <c r="L15" t="inlineStr">
        <is>
          <t>23.4</t>
        </is>
      </c>
      <c r="M15" t="inlineStr">
        <is>
          <t>5580</t>
        </is>
      </c>
      <c r="N15" t="inlineStr">
        <is>
          <t>reported</t>
        </is>
      </c>
      <c r="O15" t="inlineStr">
        <is>
          <t>比例分母為同一學校類別中繼續全日制求學者。學士／專上課程的EDB註釋涵蓋公帑資助、自資及海外院校；詳見對應年度原報告。</t>
        </is>
      </c>
    </row>
    <row r="16" ht="33" customHeight="1">
      <c r="A16" s="15" t="inlineStr">
        <is>
          <t>EDB-S6-2021</t>
        </is>
      </c>
      <c r="B16" t="inlineStr">
        <is>
          <t>2021 Secondary 6 Students’ Pathway Survey</t>
        </is>
      </c>
      <c r="C16" t="inlineStr">
        <is>
          <t>2.2</t>
        </is>
      </c>
      <c r="D16" t="inlineStr">
        <is>
          <t>9</t>
        </is>
      </c>
      <c r="E16" t="inlineStr">
        <is>
          <t>14</t>
        </is>
      </c>
      <c r="F16" t="inlineStr">
        <is>
          <t>2021-10</t>
        </is>
      </c>
      <c r="G16" t="inlineStr">
        <is>
          <t>直資／本地私立</t>
        </is>
      </c>
      <c r="I16" t="inlineStr">
        <is>
          <t>總數／全日制求學者</t>
        </is>
      </c>
      <c r="K16" t="inlineStr">
        <is>
          <t>5580</t>
        </is>
      </c>
      <c r="L16" t="inlineStr">
        <is>
          <t>100.0</t>
        </is>
      </c>
      <c r="M16" t="inlineStr">
        <is>
          <t>5580</t>
        </is>
      </c>
      <c r="N16" t="inlineStr">
        <is>
          <t>reported</t>
        </is>
      </c>
      <c r="O16" t="inlineStr">
        <is>
          <t>EDB原表總數行；分母為該類別全日制求學者。</t>
        </is>
      </c>
    </row>
    <row r="17" ht="33" customHeight="1">
      <c r="A17" s="15" t="inlineStr">
        <is>
          <t>EDB-S6-2021</t>
        </is>
      </c>
      <c r="B17" t="inlineStr">
        <is>
          <t>2021 Secondary 6 Students’ Pathway Survey</t>
        </is>
      </c>
      <c r="C17" t="inlineStr">
        <is>
          <t>2.2</t>
        </is>
      </c>
      <c r="D17" t="inlineStr">
        <is>
          <t>9</t>
        </is>
      </c>
      <c r="E17" t="inlineStr">
        <is>
          <t>14</t>
        </is>
      </c>
      <c r="F17" t="inlineStr">
        <is>
          <t>2021-10</t>
        </is>
      </c>
      <c r="G17" t="inlineStr">
        <is>
          <t>資助／按位津貼</t>
        </is>
      </c>
      <c r="I17" t="inlineStr">
        <is>
          <t>中六課程</t>
        </is>
      </c>
      <c r="K17" t="inlineStr">
        <is>
          <t>109</t>
        </is>
      </c>
      <c r="L17" t="inlineStr">
        <is>
          <t>0.4</t>
        </is>
      </c>
      <c r="M17" t="inlineStr">
        <is>
          <t>31064</t>
        </is>
      </c>
      <c r="N17" t="inlineStr">
        <is>
          <t>reported</t>
        </is>
      </c>
      <c r="O17" t="inlineStr">
        <is>
          <t>比例分母為同一學校類別中繼續全日制求學者。學士／專上課程的EDB註釋涵蓋公帑資助、自資及海外院校；詳見對應年度原報告。</t>
        </is>
      </c>
    </row>
    <row r="18" ht="33" customHeight="1">
      <c r="A18" s="15" t="inlineStr">
        <is>
          <t>EDB-S6-2021</t>
        </is>
      </c>
      <c r="B18" t="inlineStr">
        <is>
          <t>2021 Secondary 6 Students’ Pathway Survey</t>
        </is>
      </c>
      <c r="C18" t="inlineStr">
        <is>
          <t>2.2</t>
        </is>
      </c>
      <c r="D18" t="inlineStr">
        <is>
          <t>9</t>
        </is>
      </c>
      <c r="E18" t="inlineStr">
        <is>
          <t>14</t>
        </is>
      </c>
      <c r="F18" t="inlineStr">
        <is>
          <t>2021-10</t>
        </is>
      </c>
      <c r="G18" t="inlineStr">
        <is>
          <t>資助／按位津貼</t>
        </is>
      </c>
      <c r="I18" t="inlineStr">
        <is>
          <t>其他全日制課程</t>
        </is>
      </c>
      <c r="K18" t="inlineStr">
        <is>
          <t>6349</t>
        </is>
      </c>
      <c r="L18" t="inlineStr">
        <is>
          <t>20.4</t>
        </is>
      </c>
      <c r="M18" t="inlineStr">
        <is>
          <t>31064</t>
        </is>
      </c>
      <c r="N18" t="inlineStr">
        <is>
          <t>reported</t>
        </is>
      </c>
      <c r="O18" t="inlineStr">
        <is>
          <t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t>
        </is>
      </c>
    </row>
    <row r="19" ht="33" customHeight="1">
      <c r="A19" s="15" t="inlineStr">
        <is>
          <t>EDB-S6-2021</t>
        </is>
      </c>
      <c r="B19" t="inlineStr">
        <is>
          <t>2021 Secondary 6 Students’ Pathway Survey</t>
        </is>
      </c>
      <c r="C19" t="inlineStr">
        <is>
          <t>2.2</t>
        </is>
      </c>
      <c r="D19" t="inlineStr">
        <is>
          <t>9</t>
        </is>
      </c>
      <c r="E19" t="inlineStr">
        <is>
          <t>14</t>
        </is>
      </c>
      <c r="F19" t="inlineStr">
        <is>
          <t>2021-10</t>
        </is>
      </c>
      <c r="G19" t="inlineStr">
        <is>
          <t>資助／按位津貼</t>
        </is>
      </c>
      <c r="I19" t="inlineStr">
        <is>
          <t>學士學位課程</t>
        </is>
      </c>
      <c r="K19" t="inlineStr">
        <is>
          <t>14923</t>
        </is>
      </c>
      <c r="L19" t="inlineStr">
        <is>
          <t>48.0</t>
        </is>
      </c>
      <c r="M19" t="inlineStr">
        <is>
          <t>31064</t>
        </is>
      </c>
      <c r="N19" t="inlineStr">
        <is>
          <t>reported</t>
        </is>
      </c>
      <c r="O19" t="inlineStr">
        <is>
          <t>比例分母為同一學校類別中繼續全日制求學者。學士／專上課程的EDB註釋涵蓋公帑資助、自資及海外院校；詳見對應年度原報告。</t>
        </is>
      </c>
    </row>
    <row r="20" ht="33" customHeight="1">
      <c r="A20" s="15" t="inlineStr">
        <is>
          <t>EDB-S6-2021</t>
        </is>
      </c>
      <c r="B20" t="inlineStr">
        <is>
          <t>2021 Secondary 6 Students’ Pathway Survey</t>
        </is>
      </c>
      <c r="C20" t="inlineStr">
        <is>
          <t>2.2</t>
        </is>
      </c>
      <c r="D20" t="inlineStr">
        <is>
          <t>9</t>
        </is>
      </c>
      <c r="E20" t="inlineStr">
        <is>
          <t>14</t>
        </is>
      </c>
      <c r="F20" t="inlineStr">
        <is>
          <t>2021-10</t>
        </is>
      </c>
      <c r="G20" t="inlineStr">
        <is>
          <t>資助／按位津貼</t>
        </is>
      </c>
      <c r="I20" t="inlineStr">
        <is>
          <t>專上課程（副學士／高級文憑）</t>
        </is>
      </c>
      <c r="K20" t="inlineStr">
        <is>
          <t>9683</t>
        </is>
      </c>
      <c r="L20" t="inlineStr">
        <is>
          <t>31.2</t>
        </is>
      </c>
      <c r="M20" t="inlineStr">
        <is>
          <t>31064</t>
        </is>
      </c>
      <c r="N20" t="inlineStr">
        <is>
          <t>reported</t>
        </is>
      </c>
      <c r="O20" t="inlineStr">
        <is>
          <t>比例分母為同一學校類別中繼續全日制求學者。學士／專上課程的EDB註釋涵蓋公帑資助、自資及海外院校；詳見對應年度原報告。</t>
        </is>
      </c>
    </row>
    <row r="21" ht="33" customHeight="1">
      <c r="A21" s="15" t="inlineStr">
        <is>
          <t>EDB-S6-2021</t>
        </is>
      </c>
      <c r="B21" t="inlineStr">
        <is>
          <t>2021 Secondary 6 Students’ Pathway Survey</t>
        </is>
      </c>
      <c r="C21" t="inlineStr">
        <is>
          <t>2.2</t>
        </is>
      </c>
      <c r="D21" t="inlineStr">
        <is>
          <t>9</t>
        </is>
      </c>
      <c r="E21" t="inlineStr">
        <is>
          <t>14</t>
        </is>
      </c>
      <c r="F21" t="inlineStr">
        <is>
          <t>2021-10</t>
        </is>
      </c>
      <c r="G21" t="inlineStr">
        <is>
          <t>資助／按位津貼</t>
        </is>
      </c>
      <c r="I21" t="inlineStr">
        <is>
          <t>總數／全日制求學者</t>
        </is>
      </c>
      <c r="K21" t="inlineStr">
        <is>
          <t>31064</t>
        </is>
      </c>
      <c r="L21" t="inlineStr">
        <is>
          <t>100.0</t>
        </is>
      </c>
      <c r="M21" t="inlineStr">
        <is>
          <t>31064</t>
        </is>
      </c>
      <c r="N21" t="inlineStr">
        <is>
          <t>reported</t>
        </is>
      </c>
      <c r="O21" t="inlineStr">
        <is>
          <t>EDB原表總數行；分母為該類別全日制求學者。</t>
        </is>
      </c>
    </row>
    <row r="22">
      <c r="A22" s="15" t="inlineStr">
        <is>
          <t>EDB-S6-2022</t>
        </is>
      </c>
      <c r="B22" t="inlineStr">
        <is>
          <t>2022 Secondary 6 Students’ Pathway Survey</t>
        </is>
      </c>
      <c r="C22" t="inlineStr">
        <is>
          <t>2.2</t>
        </is>
      </c>
      <c r="D22" t="inlineStr">
        <is>
          <t>9</t>
        </is>
      </c>
      <c r="E22" t="inlineStr">
        <is>
          <t>14</t>
        </is>
      </c>
      <c r="F22" t="inlineStr">
        <is>
          <t>2022-10</t>
        </is>
      </c>
      <c r="G22" t="inlineStr">
        <is>
          <t>全體回應畢業生</t>
        </is>
      </c>
      <c r="I22" t="inlineStr">
        <is>
          <t>中六課程</t>
        </is>
      </c>
      <c r="K22" t="inlineStr">
        <is>
          <t>134</t>
        </is>
      </c>
      <c r="L22" t="inlineStr">
        <is>
          <t>0.3</t>
        </is>
      </c>
      <c r="M22" t="inlineStr">
        <is>
          <t>38610</t>
        </is>
      </c>
      <c r="N22" t="inlineStr">
        <is>
          <t>reported</t>
        </is>
      </c>
      <c r="O22" t="inlineStr">
        <is>
          <t>比例分母為同一學校類別中繼續全日制求學者。學士／專上課程的EDB註釋涵蓋公帑資助、自資及海外院校；詳見對應年度原報告。</t>
        </is>
      </c>
    </row>
    <row r="23">
      <c r="A23" s="15" t="inlineStr">
        <is>
          <t>EDB-S6-2022</t>
        </is>
      </c>
      <c r="B23" t="inlineStr">
        <is>
          <t>2022 Secondary 6 Students’ Pathway Survey</t>
        </is>
      </c>
      <c r="C23" t="inlineStr">
        <is>
          <t>2.2</t>
        </is>
      </c>
      <c r="D23" t="inlineStr">
        <is>
          <t>9</t>
        </is>
      </c>
      <c r="E23" t="inlineStr">
        <is>
          <t>14</t>
        </is>
      </c>
      <c r="F23" t="inlineStr">
        <is>
          <t>2022-10</t>
        </is>
      </c>
      <c r="G23" t="inlineStr">
        <is>
          <t>全體回應畢業生</t>
        </is>
      </c>
      <c r="I23" t="inlineStr">
        <is>
          <t>其他全日制課程</t>
        </is>
      </c>
      <c r="K23" t="inlineStr">
        <is>
          <t>7978</t>
        </is>
      </c>
      <c r="L23" t="inlineStr">
        <is>
          <t>20.7</t>
        </is>
      </c>
      <c r="M23" t="inlineStr">
        <is>
          <t>38610</t>
        </is>
      </c>
      <c r="N23" t="inlineStr">
        <is>
          <t>reported</t>
        </is>
      </c>
      <c r="O23" t="inlineStr">
        <is>
          <t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t>
        </is>
      </c>
    </row>
    <row r="24">
      <c r="A24" s="15" t="inlineStr">
        <is>
          <t>EDB-S6-2022</t>
        </is>
      </c>
      <c r="B24" t="inlineStr">
        <is>
          <t>2022 Secondary 6 Students’ Pathway Survey</t>
        </is>
      </c>
      <c r="C24" t="inlineStr">
        <is>
          <t>2.2</t>
        </is>
      </c>
      <c r="D24" t="inlineStr">
        <is>
          <t>9</t>
        </is>
      </c>
      <c r="E24" t="inlineStr">
        <is>
          <t>14</t>
        </is>
      </c>
      <c r="F24" t="inlineStr">
        <is>
          <t>2022-10</t>
        </is>
      </c>
      <c r="G24" t="inlineStr">
        <is>
          <t>全體回應畢業生</t>
        </is>
      </c>
      <c r="I24" t="inlineStr">
        <is>
          <t>學士學位課程</t>
        </is>
      </c>
      <c r="K24" t="inlineStr">
        <is>
          <t>19062</t>
        </is>
      </c>
      <c r="L24" t="inlineStr">
        <is>
          <t>49.4</t>
        </is>
      </c>
      <c r="M24" t="inlineStr">
        <is>
          <t>38610</t>
        </is>
      </c>
      <c r="N24" t="inlineStr">
        <is>
          <t>reported</t>
        </is>
      </c>
      <c r="O24" t="inlineStr">
        <is>
          <t>比例分母為同一學校類別中繼續全日制求學者。學士／專上課程的EDB註釋涵蓋公帑資助、自資及海外院校；詳見對應年度原報告。</t>
        </is>
      </c>
    </row>
    <row r="25">
      <c r="A25" s="15" t="inlineStr">
        <is>
          <t>EDB-S6-2022</t>
        </is>
      </c>
      <c r="B25" t="inlineStr">
        <is>
          <t>2022 Secondary 6 Students’ Pathway Survey</t>
        </is>
      </c>
      <c r="C25" t="inlineStr">
        <is>
          <t>2.2</t>
        </is>
      </c>
      <c r="D25" t="inlineStr">
        <is>
          <t>9</t>
        </is>
      </c>
      <c r="E25" t="inlineStr">
        <is>
          <t>14</t>
        </is>
      </c>
      <c r="F25" t="inlineStr">
        <is>
          <t>2022-10</t>
        </is>
      </c>
      <c r="G25" t="inlineStr">
        <is>
          <t>全體回應畢業生</t>
        </is>
      </c>
      <c r="I25" t="inlineStr">
        <is>
          <t>專上課程（副學士／高級文憑）</t>
        </is>
      </c>
      <c r="K25" t="inlineStr">
        <is>
          <t>11436</t>
        </is>
      </c>
      <c r="L25" t="inlineStr">
        <is>
          <t>29.6</t>
        </is>
      </c>
      <c r="M25" t="inlineStr">
        <is>
          <t>38610</t>
        </is>
      </c>
      <c r="N25" t="inlineStr">
        <is>
          <t>reported</t>
        </is>
      </c>
      <c r="O25" t="inlineStr">
        <is>
          <t>比例分母為同一學校類別中繼續全日制求學者。學士／專上課程的EDB註釋涵蓋公帑資助、自資及海外院校；詳見對應年度原報告。</t>
        </is>
      </c>
    </row>
    <row r="26">
      <c r="A26" s="15" t="inlineStr">
        <is>
          <t>EDB-S6-2022</t>
        </is>
      </c>
      <c r="B26" t="inlineStr">
        <is>
          <t>2022 Secondary 6 Students’ Pathway Survey</t>
        </is>
      </c>
      <c r="C26" t="inlineStr">
        <is>
          <t>2.2</t>
        </is>
      </c>
      <c r="D26" t="inlineStr">
        <is>
          <t>9</t>
        </is>
      </c>
      <c r="E26" t="inlineStr">
        <is>
          <t>14</t>
        </is>
      </c>
      <c r="F26" t="inlineStr">
        <is>
          <t>2022-10</t>
        </is>
      </c>
      <c r="G26" t="inlineStr">
        <is>
          <t>全體回應畢業生</t>
        </is>
      </c>
      <c r="I26" t="inlineStr">
        <is>
          <t>總數／全日制求學者</t>
        </is>
      </c>
      <c r="K26" t="inlineStr">
        <is>
          <t>38610</t>
        </is>
      </c>
      <c r="L26" t="inlineStr">
        <is>
          <t>100.0</t>
        </is>
      </c>
      <c r="M26" t="inlineStr">
        <is>
          <t>38610</t>
        </is>
      </c>
      <c r="N26" t="inlineStr">
        <is>
          <t>reported</t>
        </is>
      </c>
      <c r="O26" t="inlineStr">
        <is>
          <t>EDB原表總數行；分母為該類別全日制求學者。</t>
        </is>
      </c>
    </row>
    <row r="27">
      <c r="A27" s="15" t="inlineStr">
        <is>
          <t>EDB-S6-2022</t>
        </is>
      </c>
      <c r="B27" t="inlineStr">
        <is>
          <t>2022 Secondary 6 Students’ Pathway Survey</t>
        </is>
      </c>
      <c r="C27" t="inlineStr">
        <is>
          <t>2.2</t>
        </is>
      </c>
      <c r="D27" t="inlineStr">
        <is>
          <t>9</t>
        </is>
      </c>
      <c r="E27" t="inlineStr">
        <is>
          <t>14</t>
        </is>
      </c>
      <c r="F27" t="inlineStr">
        <is>
          <t>2022-10</t>
        </is>
      </c>
      <c r="G27" t="inlineStr">
        <is>
          <t>官立</t>
        </is>
      </c>
      <c r="I27" t="inlineStr">
        <is>
          <t>中六課程</t>
        </is>
      </c>
      <c r="K27" t="inlineStr">
        <is>
          <t>5</t>
        </is>
      </c>
      <c r="L27" t="inlineStr">
        <is>
          <t>0.2</t>
        </is>
      </c>
      <c r="M27" t="inlineStr">
        <is>
          <t>2757</t>
        </is>
      </c>
      <c r="N27" t="inlineStr">
        <is>
          <t>reported</t>
        </is>
      </c>
      <c r="O27" t="inlineStr">
        <is>
          <t>比例分母為同一學校類別中繼續全日制求學者。學士／專上課程的EDB註釋涵蓋公帑資助、自資及海外院校；詳見對應年度原報告。</t>
        </is>
      </c>
    </row>
    <row r="28">
      <c r="A28" s="15" t="inlineStr">
        <is>
          <t>EDB-S6-2022</t>
        </is>
      </c>
      <c r="B28" t="inlineStr">
        <is>
          <t>2022 Secondary 6 Students’ Pathway Survey</t>
        </is>
      </c>
      <c r="C28" t="inlineStr">
        <is>
          <t>2.2</t>
        </is>
      </c>
      <c r="D28" t="inlineStr">
        <is>
          <t>9</t>
        </is>
      </c>
      <c r="E28" t="inlineStr">
        <is>
          <t>14</t>
        </is>
      </c>
      <c r="F28" t="inlineStr">
        <is>
          <t>2022-10</t>
        </is>
      </c>
      <c r="G28" t="inlineStr">
        <is>
          <t>官立</t>
        </is>
      </c>
      <c r="I28" t="inlineStr">
        <is>
          <t>其他全日制課程</t>
        </is>
      </c>
      <c r="K28" t="inlineStr">
        <is>
          <t>518</t>
        </is>
      </c>
      <c r="L28" t="inlineStr">
        <is>
          <t>18.8</t>
        </is>
      </c>
      <c r="M28" t="inlineStr">
        <is>
          <t>2757</t>
        </is>
      </c>
      <c r="N28" t="inlineStr">
        <is>
          <t>reported</t>
        </is>
      </c>
      <c r="O28" t="inlineStr">
        <is>
          <t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t>
        </is>
      </c>
    </row>
    <row r="29">
      <c r="A29" s="15" t="inlineStr">
        <is>
          <t>EDB-S6-2022</t>
        </is>
      </c>
      <c r="B29" t="inlineStr">
        <is>
          <t>2022 Secondary 6 Students’ Pathway Survey</t>
        </is>
      </c>
      <c r="C29" t="inlineStr">
        <is>
          <t>2.2</t>
        </is>
      </c>
      <c r="D29" t="inlineStr">
        <is>
          <t>9</t>
        </is>
      </c>
      <c r="E29" t="inlineStr">
        <is>
          <t>14</t>
        </is>
      </c>
      <c r="F29" t="inlineStr">
        <is>
          <t>2022-10</t>
        </is>
      </c>
      <c r="G29" t="inlineStr">
        <is>
          <t>官立</t>
        </is>
      </c>
      <c r="I29" t="inlineStr">
        <is>
          <t>學士學位課程</t>
        </is>
      </c>
      <c r="K29" t="inlineStr">
        <is>
          <t>1435</t>
        </is>
      </c>
      <c r="L29" t="inlineStr">
        <is>
          <t>52.0</t>
        </is>
      </c>
      <c r="M29" t="inlineStr">
        <is>
          <t>2757</t>
        </is>
      </c>
      <c r="N29" t="inlineStr">
        <is>
          <t>reported</t>
        </is>
      </c>
      <c r="O29" t="inlineStr">
        <is>
          <t>比例分母為同一學校類別中繼續全日制求學者。學士／專上課程的EDB註釋涵蓋公帑資助、自資及海外院校；詳見對應年度原報告。</t>
        </is>
      </c>
    </row>
    <row r="30">
      <c r="A30" s="15" t="inlineStr">
        <is>
          <t>EDB-S6-2022</t>
        </is>
      </c>
      <c r="B30" t="inlineStr">
        <is>
          <t>2022 Secondary 6 Students’ Pathway Survey</t>
        </is>
      </c>
      <c r="C30" t="inlineStr">
        <is>
          <t>2.2</t>
        </is>
      </c>
      <c r="D30" t="inlineStr">
        <is>
          <t>9</t>
        </is>
      </c>
      <c r="E30" t="inlineStr">
        <is>
          <t>14</t>
        </is>
      </c>
      <c r="F30" t="inlineStr">
        <is>
          <t>2022-10</t>
        </is>
      </c>
      <c r="G30" t="inlineStr">
        <is>
          <t>官立</t>
        </is>
      </c>
      <c r="I30" t="inlineStr">
        <is>
          <t>專上課程（副學士／高級文憑）</t>
        </is>
      </c>
      <c r="K30" t="inlineStr">
        <is>
          <t>799</t>
        </is>
      </c>
      <c r="L30" t="inlineStr">
        <is>
          <t>29.0</t>
        </is>
      </c>
      <c r="M30" t="inlineStr">
        <is>
          <t>2757</t>
        </is>
      </c>
      <c r="N30" t="inlineStr">
        <is>
          <t>reported</t>
        </is>
      </c>
      <c r="O30" t="inlineStr">
        <is>
          <t>比例分母為同一學校類別中繼續全日制求學者。學士／專上課程的EDB註釋涵蓋公帑資助、自資及海外院校；詳見對應年度原報告。</t>
        </is>
      </c>
    </row>
    <row r="31">
      <c r="A31" s="15" t="inlineStr">
        <is>
          <t>EDB-S6-2022</t>
        </is>
      </c>
      <c r="B31" t="inlineStr">
        <is>
          <t>2022 Secondary 6 Students’ Pathway Survey</t>
        </is>
      </c>
      <c r="C31" t="inlineStr">
        <is>
          <t>2.2</t>
        </is>
      </c>
      <c r="D31" t="inlineStr">
        <is>
          <t>9</t>
        </is>
      </c>
      <c r="E31" t="inlineStr">
        <is>
          <t>14</t>
        </is>
      </c>
      <c r="F31" t="inlineStr">
        <is>
          <t>2022-10</t>
        </is>
      </c>
      <c r="G31" t="inlineStr">
        <is>
          <t>官立</t>
        </is>
      </c>
      <c r="I31" t="inlineStr">
        <is>
          <t>總數／全日制求學者</t>
        </is>
      </c>
      <c r="K31" t="inlineStr">
        <is>
          <t>2757</t>
        </is>
      </c>
      <c r="L31" t="inlineStr">
        <is>
          <t>100.0</t>
        </is>
      </c>
      <c r="M31" t="inlineStr">
        <is>
          <t>2757</t>
        </is>
      </c>
      <c r="N31" t="inlineStr">
        <is>
          <t>reported</t>
        </is>
      </c>
      <c r="O31" t="inlineStr">
        <is>
          <t>EDB原表總數行；分母為該類別全日制求學者。</t>
        </is>
      </c>
    </row>
    <row r="32">
      <c r="A32" s="15" t="inlineStr">
        <is>
          <t>EDB-S6-2022</t>
        </is>
      </c>
      <c r="B32" t="inlineStr">
        <is>
          <t>2022 Secondary 6 Students’ Pathway Survey</t>
        </is>
      </c>
      <c r="C32" t="inlineStr">
        <is>
          <t>2.2</t>
        </is>
      </c>
      <c r="D32" t="inlineStr">
        <is>
          <t>9</t>
        </is>
      </c>
      <c r="E32" t="inlineStr">
        <is>
          <t>14</t>
        </is>
      </c>
      <c r="F32" t="inlineStr">
        <is>
          <t>2022-10</t>
        </is>
      </c>
      <c r="G32" t="inlineStr">
        <is>
          <t>直資／本地私立</t>
        </is>
      </c>
      <c r="I32" t="inlineStr">
        <is>
          <t>中六課程</t>
        </is>
      </c>
      <c r="K32" t="inlineStr">
        <is>
          <t>42</t>
        </is>
      </c>
      <c r="L32" t="inlineStr">
        <is>
          <t>0.8</t>
        </is>
      </c>
      <c r="M32" t="inlineStr">
        <is>
          <t>5324</t>
        </is>
      </c>
      <c r="N32" t="inlineStr">
        <is>
          <t>reported</t>
        </is>
      </c>
      <c r="O32" t="inlineStr">
        <is>
          <t>比例分母為同一學校類別中繼續全日制求學者。學士／專上課程的EDB註釋涵蓋公帑資助、自資及海外院校；詳見對應年度原報告。</t>
        </is>
      </c>
    </row>
    <row r="33">
      <c r="A33" s="15" t="inlineStr">
        <is>
          <t>EDB-S6-2022</t>
        </is>
      </c>
      <c r="B33" t="inlineStr">
        <is>
          <t>2022 Secondary 6 Students’ Pathway Survey</t>
        </is>
      </c>
      <c r="C33" t="inlineStr">
        <is>
          <t>2.2</t>
        </is>
      </c>
      <c r="D33" t="inlineStr">
        <is>
          <t>9</t>
        </is>
      </c>
      <c r="E33" t="inlineStr">
        <is>
          <t>14</t>
        </is>
      </c>
      <c r="F33" t="inlineStr">
        <is>
          <t>2022-10</t>
        </is>
      </c>
      <c r="G33" t="inlineStr">
        <is>
          <t>直資／本地私立</t>
        </is>
      </c>
      <c r="I33" t="inlineStr">
        <is>
          <t>其他全日制課程</t>
        </is>
      </c>
      <c r="K33" t="inlineStr">
        <is>
          <t>916</t>
        </is>
      </c>
      <c r="L33" t="inlineStr">
        <is>
          <t>17.2</t>
        </is>
      </c>
      <c r="M33" t="inlineStr">
        <is>
          <t>5324</t>
        </is>
      </c>
      <c r="N33" t="inlineStr">
        <is>
          <t>reported</t>
        </is>
      </c>
      <c r="O33" t="inlineStr">
        <is>
          <t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t>
        </is>
      </c>
    </row>
    <row r="34">
      <c r="A34" s="15" t="inlineStr">
        <is>
          <t>EDB-S6-2022</t>
        </is>
      </c>
      <c r="B34" t="inlineStr">
        <is>
          <t>2022 Secondary 6 Students’ Pathway Survey</t>
        </is>
      </c>
      <c r="C34" t="inlineStr">
        <is>
          <t>2.2</t>
        </is>
      </c>
      <c r="D34" t="inlineStr">
        <is>
          <t>9</t>
        </is>
      </c>
      <c r="E34" t="inlineStr">
        <is>
          <t>14</t>
        </is>
      </c>
      <c r="F34" t="inlineStr">
        <is>
          <t>2022-10</t>
        </is>
      </c>
      <c r="G34" t="inlineStr">
        <is>
          <t>直資／本地私立</t>
        </is>
      </c>
      <c r="I34" t="inlineStr">
        <is>
          <t>學士學位課程</t>
        </is>
      </c>
      <c r="K34" t="inlineStr">
        <is>
          <t>3150</t>
        </is>
      </c>
      <c r="L34" t="inlineStr">
        <is>
          <t>59.2</t>
        </is>
      </c>
      <c r="M34" t="inlineStr">
        <is>
          <t>5324</t>
        </is>
      </c>
      <c r="N34" t="inlineStr">
        <is>
          <t>reported</t>
        </is>
      </c>
      <c r="O34" t="inlineStr">
        <is>
          <t>比例分母為同一學校類別中繼續全日制求學者。學士／專上課程的EDB註釋涵蓋公帑資助、自資及海外院校；詳見對應年度原報告。</t>
        </is>
      </c>
    </row>
    <row r="35">
      <c r="A35" s="15" t="inlineStr">
        <is>
          <t>EDB-S6-2022</t>
        </is>
      </c>
      <c r="B35" t="inlineStr">
        <is>
          <t>2022 Secondary 6 Students’ Pathway Survey</t>
        </is>
      </c>
      <c r="C35" t="inlineStr">
        <is>
          <t>2.2</t>
        </is>
      </c>
      <c r="D35" t="inlineStr">
        <is>
          <t>9</t>
        </is>
      </c>
      <c r="E35" t="inlineStr">
        <is>
          <t>14</t>
        </is>
      </c>
      <c r="F35" t="inlineStr">
        <is>
          <t>2022-10</t>
        </is>
      </c>
      <c r="G35" t="inlineStr">
        <is>
          <t>直資／本地私立</t>
        </is>
      </c>
      <c r="I35" t="inlineStr">
        <is>
          <t>專上課程（副學士／高級文憑）</t>
        </is>
      </c>
      <c r="K35" t="inlineStr">
        <is>
          <t>1216</t>
        </is>
      </c>
      <c r="L35" t="inlineStr">
        <is>
          <t>22.8</t>
        </is>
      </c>
      <c r="M35" t="inlineStr">
        <is>
          <t>5324</t>
        </is>
      </c>
      <c r="N35" t="inlineStr">
        <is>
          <t>reported</t>
        </is>
      </c>
      <c r="O35" t="inlineStr">
        <is>
          <t>比例分母為同一學校類別中繼續全日制求學者。學士／專上課程的EDB註釋涵蓋公帑資助、自資及海外院校；詳見對應年度原報告。</t>
        </is>
      </c>
    </row>
    <row r="36">
      <c r="A36" s="15" t="inlineStr">
        <is>
          <t>EDB-S6-2022</t>
        </is>
      </c>
      <c r="B36" t="inlineStr">
        <is>
          <t>2022 Secondary 6 Students’ Pathway Survey</t>
        </is>
      </c>
      <c r="C36" t="inlineStr">
        <is>
          <t>2.2</t>
        </is>
      </c>
      <c r="D36" t="inlineStr">
        <is>
          <t>9</t>
        </is>
      </c>
      <c r="E36" t="inlineStr">
        <is>
          <t>14</t>
        </is>
      </c>
      <c r="F36" t="inlineStr">
        <is>
          <t>2022-10</t>
        </is>
      </c>
      <c r="G36" t="inlineStr">
        <is>
          <t>直資／本地私立</t>
        </is>
      </c>
      <c r="I36" t="inlineStr">
        <is>
          <t>總數／全日制求學者</t>
        </is>
      </c>
      <c r="K36" t="inlineStr">
        <is>
          <t>5324</t>
        </is>
      </c>
      <c r="L36" t="inlineStr">
        <is>
          <t>100.0</t>
        </is>
      </c>
      <c r="M36" t="inlineStr">
        <is>
          <t>5324</t>
        </is>
      </c>
      <c r="N36" t="inlineStr">
        <is>
          <t>reported</t>
        </is>
      </c>
      <c r="O36" t="inlineStr">
        <is>
          <t>EDB原表總數行；分母為該類別全日制求學者。</t>
        </is>
      </c>
    </row>
    <row r="37">
      <c r="A37" s="15" t="inlineStr">
        <is>
          <t>EDB-S6-2022</t>
        </is>
      </c>
      <c r="B37" t="inlineStr">
        <is>
          <t>2022 Secondary 6 Students’ Pathway Survey</t>
        </is>
      </c>
      <c r="C37" t="inlineStr">
        <is>
          <t>2.2</t>
        </is>
      </c>
      <c r="D37" t="inlineStr">
        <is>
          <t>9</t>
        </is>
      </c>
      <c r="E37" t="inlineStr">
        <is>
          <t>14</t>
        </is>
      </c>
      <c r="F37" t="inlineStr">
        <is>
          <t>2022-10</t>
        </is>
      </c>
      <c r="G37" t="inlineStr">
        <is>
          <t>資助／按位津貼</t>
        </is>
      </c>
      <c r="I37" t="inlineStr">
        <is>
          <t>中六課程</t>
        </is>
      </c>
      <c r="K37" t="inlineStr">
        <is>
          <t>87</t>
        </is>
      </c>
      <c r="L37" t="inlineStr">
        <is>
          <t>0.3</t>
        </is>
      </c>
      <c r="M37" t="inlineStr">
        <is>
          <t>30529</t>
        </is>
      </c>
      <c r="N37" t="inlineStr">
        <is>
          <t>reported</t>
        </is>
      </c>
      <c r="O37" t="inlineStr">
        <is>
          <t>比例分母為同一學校類別中繼續全日制求學者。學士／專上課程的EDB註釋涵蓋公帑資助、自資及海外院校；詳見對應年度原報告。</t>
        </is>
      </c>
    </row>
    <row r="38">
      <c r="A38" s="15" t="inlineStr">
        <is>
          <t>EDB-S6-2022</t>
        </is>
      </c>
      <c r="B38" t="inlineStr">
        <is>
          <t>2022 Secondary 6 Students’ Pathway Survey</t>
        </is>
      </c>
      <c r="C38" t="inlineStr">
        <is>
          <t>2.2</t>
        </is>
      </c>
      <c r="D38" t="inlineStr">
        <is>
          <t>9</t>
        </is>
      </c>
      <c r="E38" t="inlineStr">
        <is>
          <t>14</t>
        </is>
      </c>
      <c r="F38" t="inlineStr">
        <is>
          <t>2022-10</t>
        </is>
      </c>
      <c r="G38" t="inlineStr">
        <is>
          <t>資助／按位津貼</t>
        </is>
      </c>
      <c r="I38" t="inlineStr">
        <is>
          <t>其他全日制課程</t>
        </is>
      </c>
      <c r="K38" t="inlineStr">
        <is>
          <t>6544</t>
        </is>
      </c>
      <c r="L38" t="inlineStr">
        <is>
          <t>21.4</t>
        </is>
      </c>
      <c r="M38" t="inlineStr">
        <is>
          <t>30529</t>
        </is>
      </c>
      <c r="N38" t="inlineStr">
        <is>
          <t>reported</t>
        </is>
      </c>
      <c r="O38" t="inlineStr">
        <is>
          <t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t>
        </is>
      </c>
    </row>
    <row r="39">
      <c r="A39" s="15" t="inlineStr">
        <is>
          <t>EDB-S6-2022</t>
        </is>
      </c>
      <c r="B39" t="inlineStr">
        <is>
          <t>2022 Secondary 6 Students’ Pathway Survey</t>
        </is>
      </c>
      <c r="C39" t="inlineStr">
        <is>
          <t>2.2</t>
        </is>
      </c>
      <c r="D39" t="inlineStr">
        <is>
          <t>9</t>
        </is>
      </c>
      <c r="E39" t="inlineStr">
        <is>
          <t>14</t>
        </is>
      </c>
      <c r="F39" t="inlineStr">
        <is>
          <t>2022-10</t>
        </is>
      </c>
      <c r="G39" t="inlineStr">
        <is>
          <t>資助／按位津貼</t>
        </is>
      </c>
      <c r="I39" t="inlineStr">
        <is>
          <t>學士學位課程</t>
        </is>
      </c>
      <c r="K39" t="inlineStr">
        <is>
          <t>14477</t>
        </is>
      </c>
      <c r="L39" t="inlineStr">
        <is>
          <t>47.4</t>
        </is>
      </c>
      <c r="M39" t="inlineStr">
        <is>
          <t>30529</t>
        </is>
      </c>
      <c r="N39" t="inlineStr">
        <is>
          <t>reported</t>
        </is>
      </c>
      <c r="O39" t="inlineStr">
        <is>
          <t>比例分母為同一學校類別中繼續全日制求學者。學士／專上課程的EDB註釋涵蓋公帑資助、自資及海外院校；詳見對應年度原報告。</t>
        </is>
      </c>
    </row>
    <row r="40">
      <c r="A40" s="15" t="inlineStr">
        <is>
          <t>EDB-S6-2022</t>
        </is>
      </c>
      <c r="B40" t="inlineStr">
        <is>
          <t>2022 Secondary 6 Students’ Pathway Survey</t>
        </is>
      </c>
      <c r="C40" t="inlineStr">
        <is>
          <t>2.2</t>
        </is>
      </c>
      <c r="D40" t="inlineStr">
        <is>
          <t>9</t>
        </is>
      </c>
      <c r="E40" t="inlineStr">
        <is>
          <t>14</t>
        </is>
      </c>
      <c r="F40" t="inlineStr">
        <is>
          <t>2022-10</t>
        </is>
      </c>
      <c r="G40" t="inlineStr">
        <is>
          <t>資助／按位津貼</t>
        </is>
      </c>
      <c r="I40" t="inlineStr">
        <is>
          <t>專上課程（副學士／高級文憑）</t>
        </is>
      </c>
      <c r="K40" t="inlineStr">
        <is>
          <t>9421</t>
        </is>
      </c>
      <c r="L40" t="inlineStr">
        <is>
          <t>30.9</t>
        </is>
      </c>
      <c r="M40" t="inlineStr">
        <is>
          <t>30529</t>
        </is>
      </c>
      <c r="N40" t="inlineStr">
        <is>
          <t>reported</t>
        </is>
      </c>
      <c r="O40" t="inlineStr">
        <is>
          <t>比例分母為同一學校類別中繼續全日制求學者。學士／專上課程的EDB註釋涵蓋公帑資助、自資及海外院校；詳見對應年度原報告。</t>
        </is>
      </c>
    </row>
    <row r="41">
      <c r="A41" s="15" t="inlineStr">
        <is>
          <t>EDB-S6-2022</t>
        </is>
      </c>
      <c r="B41" t="inlineStr">
        <is>
          <t>2022 Secondary 6 Students’ Pathway Survey</t>
        </is>
      </c>
      <c r="C41" t="inlineStr">
        <is>
          <t>2.2</t>
        </is>
      </c>
      <c r="D41" t="inlineStr">
        <is>
          <t>9</t>
        </is>
      </c>
      <c r="E41" t="inlineStr">
        <is>
          <t>14</t>
        </is>
      </c>
      <c r="F41" t="inlineStr">
        <is>
          <t>2022-10</t>
        </is>
      </c>
      <c r="G41" t="inlineStr">
        <is>
          <t>資助／按位津貼</t>
        </is>
      </c>
      <c r="I41" t="inlineStr">
        <is>
          <t>總數／全日制求學者</t>
        </is>
      </c>
      <c r="K41" t="inlineStr">
        <is>
          <t>30529</t>
        </is>
      </c>
      <c r="L41" t="inlineStr">
        <is>
          <t>100.0</t>
        </is>
      </c>
      <c r="M41" t="inlineStr">
        <is>
          <t>30529</t>
        </is>
      </c>
      <c r="N41" t="inlineStr">
        <is>
          <t>reported</t>
        </is>
      </c>
      <c r="O41" t="inlineStr">
        <is>
          <t>EDB原表總數行；分母為該類別全日制求學者。</t>
        </is>
      </c>
    </row>
    <row r="42">
      <c r="A42" s="15" t="inlineStr">
        <is>
          <t>EDB-S6-2023</t>
        </is>
      </c>
      <c r="B42" t="inlineStr">
        <is>
          <t>2023 Secondary 6 Students’ Pathway Survey</t>
        </is>
      </c>
      <c r="C42" t="inlineStr">
        <is>
          <t>2.2</t>
        </is>
      </c>
      <c r="D42" t="inlineStr">
        <is>
          <t>9</t>
        </is>
      </c>
      <c r="E42" t="inlineStr">
        <is>
          <t>14</t>
        </is>
      </c>
      <c r="F42" t="inlineStr">
        <is>
          <t>2023-10</t>
        </is>
      </c>
      <c r="G42" t="inlineStr">
        <is>
          <t>全體回應畢業生</t>
        </is>
      </c>
      <c r="I42" t="inlineStr">
        <is>
          <t>中六課程</t>
        </is>
      </c>
      <c r="K42" t="inlineStr">
        <is>
          <t>62</t>
        </is>
      </c>
      <c r="L42" t="inlineStr">
        <is>
          <t>0.2</t>
        </is>
      </c>
      <c r="M42" t="inlineStr">
        <is>
          <t>38598</t>
        </is>
      </c>
      <c r="N42" t="inlineStr">
        <is>
          <t>reported</t>
        </is>
      </c>
      <c r="O42" t="inlineStr">
        <is>
          <t>比例分母為同一學校類別中繼續全日制求學者。學士／專上課程的EDB註釋涵蓋公帑資助、自資及海外院校；詳見對應年度原報告。</t>
        </is>
      </c>
    </row>
    <row r="43">
      <c r="A43" s="15" t="inlineStr">
        <is>
          <t>EDB-S6-2023</t>
        </is>
      </c>
      <c r="B43" t="inlineStr">
        <is>
          <t>2023 Secondary 6 Students’ Pathway Survey</t>
        </is>
      </c>
      <c r="C43" t="inlineStr">
        <is>
          <t>2.2</t>
        </is>
      </c>
      <c r="D43" t="inlineStr">
        <is>
          <t>9</t>
        </is>
      </c>
      <c r="E43" t="inlineStr">
        <is>
          <t>14</t>
        </is>
      </c>
      <c r="F43" t="inlineStr">
        <is>
          <t>2023-10</t>
        </is>
      </c>
      <c r="G43" t="inlineStr">
        <is>
          <t>全體回應畢業生</t>
        </is>
      </c>
      <c r="I43" t="inlineStr">
        <is>
          <t>其他全日制課程</t>
        </is>
      </c>
      <c r="K43" t="inlineStr">
        <is>
          <t>7792</t>
        </is>
      </c>
      <c r="L43" t="inlineStr">
        <is>
          <t>20.2</t>
        </is>
      </c>
      <c r="M43" t="inlineStr">
        <is>
          <t>38598</t>
        </is>
      </c>
      <c r="N43" t="inlineStr">
        <is>
          <t>reported</t>
        </is>
      </c>
      <c r="O43" t="inlineStr">
        <is>
          <t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t>
        </is>
      </c>
    </row>
    <row r="44">
      <c r="A44" s="15" t="inlineStr">
        <is>
          <t>EDB-S6-2023</t>
        </is>
      </c>
      <c r="B44" t="inlineStr">
        <is>
          <t>2023 Secondary 6 Students’ Pathway Survey</t>
        </is>
      </c>
      <c r="C44" t="inlineStr">
        <is>
          <t>2.2</t>
        </is>
      </c>
      <c r="D44" t="inlineStr">
        <is>
          <t>9</t>
        </is>
      </c>
      <c r="E44" t="inlineStr">
        <is>
          <t>14</t>
        </is>
      </c>
      <c r="F44" t="inlineStr">
        <is>
          <t>2023-10</t>
        </is>
      </c>
      <c r="G44" t="inlineStr">
        <is>
          <t>全體回應畢業生</t>
        </is>
      </c>
      <c r="I44" t="inlineStr">
        <is>
          <t>學士學位課程</t>
        </is>
      </c>
      <c r="K44" t="inlineStr">
        <is>
          <t>18798</t>
        </is>
      </c>
      <c r="L44" t="inlineStr">
        <is>
          <t>48.7</t>
        </is>
      </c>
      <c r="M44" t="inlineStr">
        <is>
          <t>38598</t>
        </is>
      </c>
      <c r="N44" t="inlineStr">
        <is>
          <t>reported</t>
        </is>
      </c>
      <c r="O44" t="inlineStr">
        <is>
          <t>比例分母為同一學校類別中繼續全日制求學者。學士／專上課程的EDB註釋涵蓋公帑資助、自資及海外院校；詳見對應年度原報告。</t>
        </is>
      </c>
    </row>
    <row r="45">
      <c r="A45" s="15" t="inlineStr">
        <is>
          <t>EDB-S6-2023</t>
        </is>
      </c>
      <c r="B45" t="inlineStr">
        <is>
          <t>2023 Secondary 6 Students’ Pathway Survey</t>
        </is>
      </c>
      <c r="C45" t="inlineStr">
        <is>
          <t>2.2</t>
        </is>
      </c>
      <c r="D45" t="inlineStr">
        <is>
          <t>9</t>
        </is>
      </c>
      <c r="E45" t="inlineStr">
        <is>
          <t>14</t>
        </is>
      </c>
      <c r="F45" t="inlineStr">
        <is>
          <t>2023-10</t>
        </is>
      </c>
      <c r="G45" t="inlineStr">
        <is>
          <t>全體回應畢業生</t>
        </is>
      </c>
      <c r="I45" t="inlineStr">
        <is>
          <t>專上課程（副學士／高級文憑）</t>
        </is>
      </c>
      <c r="K45" t="inlineStr">
        <is>
          <t>11946</t>
        </is>
      </c>
      <c r="L45" t="inlineStr">
        <is>
          <t>30.9</t>
        </is>
      </c>
      <c r="M45" t="inlineStr">
        <is>
          <t>38598</t>
        </is>
      </c>
      <c r="N45" t="inlineStr">
        <is>
          <t>reported</t>
        </is>
      </c>
      <c r="O45" t="inlineStr">
        <is>
          <t>比例分母為同一學校類別中繼續全日制求學者。學士／專上課程的EDB註釋涵蓋公帑資助、自資及海外院校；詳見對應年度原報告。</t>
        </is>
      </c>
    </row>
    <row r="46">
      <c r="A46" s="15" t="inlineStr">
        <is>
          <t>EDB-S6-2023</t>
        </is>
      </c>
      <c r="B46" t="inlineStr">
        <is>
          <t>2023 Secondary 6 Students’ Pathway Survey</t>
        </is>
      </c>
      <c r="C46" t="inlineStr">
        <is>
          <t>2.2</t>
        </is>
      </c>
      <c r="D46" t="inlineStr">
        <is>
          <t>9</t>
        </is>
      </c>
      <c r="E46" t="inlineStr">
        <is>
          <t>14</t>
        </is>
      </c>
      <c r="F46" t="inlineStr">
        <is>
          <t>2023-10</t>
        </is>
      </c>
      <c r="G46" t="inlineStr">
        <is>
          <t>全體回應畢業生</t>
        </is>
      </c>
      <c r="I46" t="inlineStr">
        <is>
          <t>總數／全日制求學者</t>
        </is>
      </c>
      <c r="K46" t="inlineStr">
        <is>
          <t>38598</t>
        </is>
      </c>
      <c r="L46" t="inlineStr">
        <is>
          <t>100.0</t>
        </is>
      </c>
      <c r="M46" t="inlineStr">
        <is>
          <t>38598</t>
        </is>
      </c>
      <c r="N46" t="inlineStr">
        <is>
          <t>reported</t>
        </is>
      </c>
      <c r="O46" t="inlineStr">
        <is>
          <t>EDB原表總數行；分母為該類別全日制求學者。</t>
        </is>
      </c>
    </row>
    <row r="47">
      <c r="A47" s="15" t="inlineStr">
        <is>
          <t>EDB-S6-2023</t>
        </is>
      </c>
      <c r="B47" t="inlineStr">
        <is>
          <t>2023 Secondary 6 Students’ Pathway Survey</t>
        </is>
      </c>
      <c r="C47" t="inlineStr">
        <is>
          <t>2.2</t>
        </is>
      </c>
      <c r="D47" t="inlineStr">
        <is>
          <t>9</t>
        </is>
      </c>
      <c r="E47" t="inlineStr">
        <is>
          <t>14</t>
        </is>
      </c>
      <c r="F47" t="inlineStr">
        <is>
          <t>2023-10</t>
        </is>
      </c>
      <c r="G47" t="inlineStr">
        <is>
          <t>官立</t>
        </is>
      </c>
      <c r="I47" t="inlineStr">
        <is>
          <t>中六課程</t>
        </is>
      </c>
      <c r="K47" t="inlineStr">
        <is>
          <t>1</t>
        </is>
      </c>
      <c r="L47" t="inlineStr">
        <is>
          <t>0.0</t>
        </is>
      </c>
      <c r="M47" t="inlineStr">
        <is>
          <t>2755</t>
        </is>
      </c>
      <c r="N47" t="inlineStr">
        <is>
          <t>reported</t>
        </is>
      </c>
      <c r="O47" t="inlineStr">
        <is>
          <t>比例分母為同一學校類別中繼續全日制求學者。學士／專上課程的EDB註釋涵蓋公帑資助、自資及海外院校；詳見對應年度原報告。</t>
        </is>
      </c>
    </row>
    <row r="48">
      <c r="A48" s="15" t="inlineStr">
        <is>
          <t>EDB-S6-2023</t>
        </is>
      </c>
      <c r="B48" t="inlineStr">
        <is>
          <t>2023 Secondary 6 Students’ Pathway Survey</t>
        </is>
      </c>
      <c r="C48" t="inlineStr">
        <is>
          <t>2.2</t>
        </is>
      </c>
      <c r="D48" t="inlineStr">
        <is>
          <t>9</t>
        </is>
      </c>
      <c r="E48" t="inlineStr">
        <is>
          <t>14</t>
        </is>
      </c>
      <c r="F48" t="inlineStr">
        <is>
          <t>2023-10</t>
        </is>
      </c>
      <c r="G48" t="inlineStr">
        <is>
          <t>官立</t>
        </is>
      </c>
      <c r="I48" t="inlineStr">
        <is>
          <t>其他全日制課程</t>
        </is>
      </c>
      <c r="K48" t="inlineStr">
        <is>
          <t>547</t>
        </is>
      </c>
      <c r="L48" t="inlineStr">
        <is>
          <t>19.9</t>
        </is>
      </c>
      <c r="M48" t="inlineStr">
        <is>
          <t>2755</t>
        </is>
      </c>
      <c r="N48" t="inlineStr">
        <is>
          <t>reported</t>
        </is>
      </c>
      <c r="O48" t="inlineStr">
        <is>
          <t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t>
        </is>
      </c>
    </row>
    <row r="49">
      <c r="A49" s="15" t="inlineStr">
        <is>
          <t>EDB-S6-2023</t>
        </is>
      </c>
      <c r="B49" t="inlineStr">
        <is>
          <t>2023 Secondary 6 Students’ Pathway Survey</t>
        </is>
      </c>
      <c r="C49" t="inlineStr">
        <is>
          <t>2.2</t>
        </is>
      </c>
      <c r="D49" t="inlineStr">
        <is>
          <t>9</t>
        </is>
      </c>
      <c r="E49" t="inlineStr">
        <is>
          <t>14</t>
        </is>
      </c>
      <c r="F49" t="inlineStr">
        <is>
          <t>2023-10</t>
        </is>
      </c>
      <c r="G49" t="inlineStr">
        <is>
          <t>官立</t>
        </is>
      </c>
      <c r="I49" t="inlineStr">
        <is>
          <t>學士學位課程</t>
        </is>
      </c>
      <c r="K49" t="inlineStr">
        <is>
          <t>1374</t>
        </is>
      </c>
      <c r="L49" t="inlineStr">
        <is>
          <t>49.9</t>
        </is>
      </c>
      <c r="M49" t="inlineStr">
        <is>
          <t>2755</t>
        </is>
      </c>
      <c r="N49" t="inlineStr">
        <is>
          <t>reported</t>
        </is>
      </c>
      <c r="O49" t="inlineStr">
        <is>
          <t>比例分母為同一學校類別中繼續全日制求學者。學士／專上課程的EDB註釋涵蓋公帑資助、自資及海外院校；詳見對應年度原報告。</t>
        </is>
      </c>
    </row>
    <row r="50">
      <c r="A50" s="15" t="inlineStr">
        <is>
          <t>EDB-S6-2023</t>
        </is>
      </c>
      <c r="B50" t="inlineStr">
        <is>
          <t>2023 Secondary 6 Students’ Pathway Survey</t>
        </is>
      </c>
      <c r="C50" t="inlineStr">
        <is>
          <t>2.2</t>
        </is>
      </c>
      <c r="D50" t="inlineStr">
        <is>
          <t>9</t>
        </is>
      </c>
      <c r="E50" t="inlineStr">
        <is>
          <t>14</t>
        </is>
      </c>
      <c r="F50" t="inlineStr">
        <is>
          <t>2023-10</t>
        </is>
      </c>
      <c r="G50" t="inlineStr">
        <is>
          <t>官立</t>
        </is>
      </c>
      <c r="I50" t="inlineStr">
        <is>
          <t>專上課程（副學士／高級文憑）</t>
        </is>
      </c>
      <c r="K50" t="inlineStr">
        <is>
          <t>833</t>
        </is>
      </c>
      <c r="L50" t="inlineStr">
        <is>
          <t>30.2</t>
        </is>
      </c>
      <c r="M50" t="inlineStr">
        <is>
          <t>2755</t>
        </is>
      </c>
      <c r="N50" t="inlineStr">
        <is>
          <t>reported</t>
        </is>
      </c>
      <c r="O50" t="inlineStr">
        <is>
          <t>比例分母為同一學校類別中繼續全日制求學者。學士／專上課程的EDB註釋涵蓋公帑資助、自資及海外院校；詳見對應年度原報告。</t>
        </is>
      </c>
    </row>
    <row r="51">
      <c r="A51" s="15" t="inlineStr">
        <is>
          <t>EDB-S6-2023</t>
        </is>
      </c>
      <c r="B51" t="inlineStr">
        <is>
          <t>2023 Secondary 6 Students’ Pathway Survey</t>
        </is>
      </c>
      <c r="C51" t="inlineStr">
        <is>
          <t>2.2</t>
        </is>
      </c>
      <c r="D51" t="inlineStr">
        <is>
          <t>9</t>
        </is>
      </c>
      <c r="E51" t="inlineStr">
        <is>
          <t>14</t>
        </is>
      </c>
      <c r="F51" t="inlineStr">
        <is>
          <t>2023-10</t>
        </is>
      </c>
      <c r="G51" t="inlineStr">
        <is>
          <t>官立</t>
        </is>
      </c>
      <c r="I51" t="inlineStr">
        <is>
          <t>總數／全日制求學者</t>
        </is>
      </c>
      <c r="K51" t="inlineStr">
        <is>
          <t>2755</t>
        </is>
      </c>
      <c r="L51" t="inlineStr">
        <is>
          <t>100.0</t>
        </is>
      </c>
      <c r="M51" t="inlineStr">
        <is>
          <t>2755</t>
        </is>
      </c>
      <c r="N51" t="inlineStr">
        <is>
          <t>reported</t>
        </is>
      </c>
      <c r="O51" t="inlineStr">
        <is>
          <t>EDB原表總數行；分母為該類別全日制求學者。</t>
        </is>
      </c>
    </row>
    <row r="52">
      <c r="A52" s="15" t="inlineStr">
        <is>
          <t>EDB-S6-2023</t>
        </is>
      </c>
      <c r="B52" t="inlineStr">
        <is>
          <t>2023 Secondary 6 Students’ Pathway Survey</t>
        </is>
      </c>
      <c r="C52" t="inlineStr">
        <is>
          <t>2.2</t>
        </is>
      </c>
      <c r="D52" t="inlineStr">
        <is>
          <t>9</t>
        </is>
      </c>
      <c r="E52" t="inlineStr">
        <is>
          <t>14</t>
        </is>
      </c>
      <c r="F52" t="inlineStr">
        <is>
          <t>2023-10</t>
        </is>
      </c>
      <c r="G52" t="inlineStr">
        <is>
          <t>直資／本地私立</t>
        </is>
      </c>
      <c r="I52" t="inlineStr">
        <is>
          <t>中六課程</t>
        </is>
      </c>
      <c r="K52" t="inlineStr">
        <is>
          <t>23</t>
        </is>
      </c>
      <c r="L52" t="inlineStr">
        <is>
          <t>0.4</t>
        </is>
      </c>
      <c r="M52" t="inlineStr">
        <is>
          <t>5183</t>
        </is>
      </c>
      <c r="N52" t="inlineStr">
        <is>
          <t>reported</t>
        </is>
      </c>
      <c r="O52" t="inlineStr">
        <is>
          <t>比例分母為同一學校類別中繼續全日制求學者。學士／專上課程的EDB註釋涵蓋公帑資助、自資及海外院校；詳見對應年度原報告。</t>
        </is>
      </c>
    </row>
    <row r="53">
      <c r="A53" s="15" t="inlineStr">
        <is>
          <t>EDB-S6-2023</t>
        </is>
      </c>
      <c r="B53" t="inlineStr">
        <is>
          <t>2023 Secondary 6 Students’ Pathway Survey</t>
        </is>
      </c>
      <c r="C53" t="inlineStr">
        <is>
          <t>2.2</t>
        </is>
      </c>
      <c r="D53" t="inlineStr">
        <is>
          <t>9</t>
        </is>
      </c>
      <c r="E53" t="inlineStr">
        <is>
          <t>14</t>
        </is>
      </c>
      <c r="F53" t="inlineStr">
        <is>
          <t>2023-10</t>
        </is>
      </c>
      <c r="G53" t="inlineStr">
        <is>
          <t>直資／本地私立</t>
        </is>
      </c>
      <c r="I53" t="inlineStr">
        <is>
          <t>其他全日制課程</t>
        </is>
      </c>
      <c r="K53" t="inlineStr">
        <is>
          <t>827</t>
        </is>
      </c>
      <c r="L53" t="inlineStr">
        <is>
          <t>16.0</t>
        </is>
      </c>
      <c r="M53" t="inlineStr">
        <is>
          <t>5183</t>
        </is>
      </c>
      <c r="N53" t="inlineStr">
        <is>
          <t>reported</t>
        </is>
      </c>
      <c r="O53" t="inlineStr">
        <is>
          <t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t>
        </is>
      </c>
    </row>
    <row r="54">
      <c r="A54" s="15" t="inlineStr">
        <is>
          <t>EDB-S6-2023</t>
        </is>
      </c>
      <c r="B54" t="inlineStr">
        <is>
          <t>2023 Secondary 6 Students’ Pathway Survey</t>
        </is>
      </c>
      <c r="C54" t="inlineStr">
        <is>
          <t>2.2</t>
        </is>
      </c>
      <c r="D54" t="inlineStr">
        <is>
          <t>9</t>
        </is>
      </c>
      <c r="E54" t="inlineStr">
        <is>
          <t>14</t>
        </is>
      </c>
      <c r="F54" t="inlineStr">
        <is>
          <t>2023-10</t>
        </is>
      </c>
      <c r="G54" t="inlineStr">
        <is>
          <t>直資／本地私立</t>
        </is>
      </c>
      <c r="I54" t="inlineStr">
        <is>
          <t>學士學位課程</t>
        </is>
      </c>
      <c r="K54" t="inlineStr">
        <is>
          <t>3062</t>
        </is>
      </c>
      <c r="L54" t="inlineStr">
        <is>
          <t>59.1</t>
        </is>
      </c>
      <c r="M54" t="inlineStr">
        <is>
          <t>5183</t>
        </is>
      </c>
      <c r="N54" t="inlineStr">
        <is>
          <t>reported</t>
        </is>
      </c>
      <c r="O54" t="inlineStr">
        <is>
          <t>比例分母為同一學校類別中繼續全日制求學者。學士／專上課程的EDB註釋涵蓋公帑資助、自資及海外院校；詳見對應年度原報告。</t>
        </is>
      </c>
    </row>
    <row r="55">
      <c r="A55" s="15" t="inlineStr">
        <is>
          <t>EDB-S6-2023</t>
        </is>
      </c>
      <c r="B55" t="inlineStr">
        <is>
          <t>2023 Secondary 6 Students’ Pathway Survey</t>
        </is>
      </c>
      <c r="C55" t="inlineStr">
        <is>
          <t>2.2</t>
        </is>
      </c>
      <c r="D55" t="inlineStr">
        <is>
          <t>9</t>
        </is>
      </c>
      <c r="E55" t="inlineStr">
        <is>
          <t>14</t>
        </is>
      </c>
      <c r="F55" t="inlineStr">
        <is>
          <t>2023-10</t>
        </is>
      </c>
      <c r="G55" t="inlineStr">
        <is>
          <t>直資／本地私立</t>
        </is>
      </c>
      <c r="I55" t="inlineStr">
        <is>
          <t>專上課程（副學士／高級文憑）</t>
        </is>
      </c>
      <c r="K55" t="inlineStr">
        <is>
          <t>1271</t>
        </is>
      </c>
      <c r="L55" t="inlineStr">
        <is>
          <t>24.5</t>
        </is>
      </c>
      <c r="M55" t="inlineStr">
        <is>
          <t>5183</t>
        </is>
      </c>
      <c r="N55" t="inlineStr">
        <is>
          <t>reported</t>
        </is>
      </c>
      <c r="O55" t="inlineStr">
        <is>
          <t>比例分母為同一學校類別中繼續全日制求學者。學士／專上課程的EDB註釋涵蓋公帑資助、自資及海外院校；詳見對應年度原報告。</t>
        </is>
      </c>
    </row>
    <row r="56">
      <c r="A56" s="15" t="inlineStr">
        <is>
          <t>EDB-S6-2023</t>
        </is>
      </c>
      <c r="B56" t="inlineStr">
        <is>
          <t>2023 Secondary 6 Students’ Pathway Survey</t>
        </is>
      </c>
      <c r="C56" t="inlineStr">
        <is>
          <t>2.2</t>
        </is>
      </c>
      <c r="D56" t="inlineStr">
        <is>
          <t>9</t>
        </is>
      </c>
      <c r="E56" t="inlineStr">
        <is>
          <t>14</t>
        </is>
      </c>
      <c r="F56" t="inlineStr">
        <is>
          <t>2023-10</t>
        </is>
      </c>
      <c r="G56" t="inlineStr">
        <is>
          <t>直資／本地私立</t>
        </is>
      </c>
      <c r="I56" t="inlineStr">
        <is>
          <t>總數／全日制求學者</t>
        </is>
      </c>
      <c r="K56" t="inlineStr">
        <is>
          <t>5183</t>
        </is>
      </c>
      <c r="L56" t="inlineStr">
        <is>
          <t>100.0</t>
        </is>
      </c>
      <c r="M56" t="inlineStr">
        <is>
          <t>5183</t>
        </is>
      </c>
      <c r="N56" t="inlineStr">
        <is>
          <t>reported</t>
        </is>
      </c>
      <c r="O56" t="inlineStr">
        <is>
          <t>EDB原表總數行；分母為該類別全日制求學者。</t>
        </is>
      </c>
    </row>
    <row r="57">
      <c r="A57" s="15" t="inlineStr">
        <is>
          <t>EDB-S6-2023</t>
        </is>
      </c>
      <c r="B57" t="inlineStr">
        <is>
          <t>2023 Secondary 6 Students’ Pathway Survey</t>
        </is>
      </c>
      <c r="C57" t="inlineStr">
        <is>
          <t>2.2</t>
        </is>
      </c>
      <c r="D57" t="inlineStr">
        <is>
          <t>9</t>
        </is>
      </c>
      <c r="E57" t="inlineStr">
        <is>
          <t>14</t>
        </is>
      </c>
      <c r="F57" t="inlineStr">
        <is>
          <t>2023-10</t>
        </is>
      </c>
      <c r="G57" t="inlineStr">
        <is>
          <t>資助／按位津貼</t>
        </is>
      </c>
      <c r="I57" t="inlineStr">
        <is>
          <t>中六課程</t>
        </is>
      </c>
      <c r="K57" t="inlineStr">
        <is>
          <t>38</t>
        </is>
      </c>
      <c r="L57" t="inlineStr">
        <is>
          <t>0.1</t>
        </is>
      </c>
      <c r="M57" t="inlineStr">
        <is>
          <t>30660</t>
        </is>
      </c>
      <c r="N57" t="inlineStr">
        <is>
          <t>reported</t>
        </is>
      </c>
      <c r="O57" t="inlineStr">
        <is>
          <t>比例分母為同一學校類別中繼續全日制求學者。學士／專上課程的EDB註釋涵蓋公帑資助、自資及海外院校；詳見對應年度原報告。</t>
        </is>
      </c>
    </row>
    <row r="58">
      <c r="A58" s="15" t="inlineStr">
        <is>
          <t>EDB-S6-2023</t>
        </is>
      </c>
      <c r="B58" t="inlineStr">
        <is>
          <t>2023 Secondary 6 Students’ Pathway Survey</t>
        </is>
      </c>
      <c r="C58" t="inlineStr">
        <is>
          <t>2.2</t>
        </is>
      </c>
      <c r="D58" t="inlineStr">
        <is>
          <t>9</t>
        </is>
      </c>
      <c r="E58" t="inlineStr">
        <is>
          <t>14</t>
        </is>
      </c>
      <c r="F58" t="inlineStr">
        <is>
          <t>2023-10</t>
        </is>
      </c>
      <c r="G58" t="inlineStr">
        <is>
          <t>資助／按位津貼</t>
        </is>
      </c>
      <c r="I58" t="inlineStr">
        <is>
          <t>其他全日制課程</t>
        </is>
      </c>
      <c r="K58" t="inlineStr">
        <is>
          <t>6418</t>
        </is>
      </c>
      <c r="L58" t="inlineStr">
        <is>
          <t>20.9</t>
        </is>
      </c>
      <c r="M58" t="inlineStr">
        <is>
          <t>30660</t>
        </is>
      </c>
      <c r="N58" t="inlineStr">
        <is>
          <t>reported</t>
        </is>
      </c>
      <c r="O58" t="inlineStr">
        <is>
          <t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t>
        </is>
      </c>
    </row>
    <row r="59">
      <c r="A59" s="15" t="inlineStr">
        <is>
          <t>EDB-S6-2023</t>
        </is>
      </c>
      <c r="B59" t="inlineStr">
        <is>
          <t>2023 Secondary 6 Students’ Pathway Survey</t>
        </is>
      </c>
      <c r="C59" t="inlineStr">
        <is>
          <t>2.2</t>
        </is>
      </c>
      <c r="D59" t="inlineStr">
        <is>
          <t>9</t>
        </is>
      </c>
      <c r="E59" t="inlineStr">
        <is>
          <t>14</t>
        </is>
      </c>
      <c r="F59" t="inlineStr">
        <is>
          <t>2023-10</t>
        </is>
      </c>
      <c r="G59" t="inlineStr">
        <is>
          <t>資助／按位津貼</t>
        </is>
      </c>
      <c r="I59" t="inlineStr">
        <is>
          <t>學士學位課程</t>
        </is>
      </c>
      <c r="K59" t="inlineStr">
        <is>
          <t>14362</t>
        </is>
      </c>
      <c r="L59" t="inlineStr">
        <is>
          <t>46.8</t>
        </is>
      </c>
      <c r="M59" t="inlineStr">
        <is>
          <t>30660</t>
        </is>
      </c>
      <c r="N59" t="inlineStr">
        <is>
          <t>reported</t>
        </is>
      </c>
      <c r="O59" t="inlineStr">
        <is>
          <t>比例分母為同一學校類別中繼續全日制求學者。學士／專上課程的EDB註釋涵蓋公帑資助、自資及海外院校；詳見對應年度原報告。</t>
        </is>
      </c>
    </row>
    <row r="60">
      <c r="A60" s="15" t="inlineStr">
        <is>
          <t>EDB-S6-2023</t>
        </is>
      </c>
      <c r="B60" t="inlineStr">
        <is>
          <t>2023 Secondary 6 Students’ Pathway Survey</t>
        </is>
      </c>
      <c r="C60" t="inlineStr">
        <is>
          <t>2.2</t>
        </is>
      </c>
      <c r="D60" t="inlineStr">
        <is>
          <t>9</t>
        </is>
      </c>
      <c r="E60" t="inlineStr">
        <is>
          <t>14</t>
        </is>
      </c>
      <c r="F60" t="inlineStr">
        <is>
          <t>2023-10</t>
        </is>
      </c>
      <c r="G60" t="inlineStr">
        <is>
          <t>資助／按位津貼</t>
        </is>
      </c>
      <c r="I60" t="inlineStr">
        <is>
          <t>專上課程（副學士／高級文憑）</t>
        </is>
      </c>
      <c r="K60" t="inlineStr">
        <is>
          <t>9842</t>
        </is>
      </c>
      <c r="L60" t="inlineStr">
        <is>
          <t>32.1</t>
        </is>
      </c>
      <c r="M60" t="inlineStr">
        <is>
          <t>30660</t>
        </is>
      </c>
      <c r="N60" t="inlineStr">
        <is>
          <t>reported</t>
        </is>
      </c>
      <c r="O60" t="inlineStr">
        <is>
          <t>比例分母為同一學校類別中繼續全日制求學者。學士／專上課程的EDB註釋涵蓋公帑資助、自資及海外院校；詳見對應年度原報告。</t>
        </is>
      </c>
    </row>
    <row r="61">
      <c r="A61" s="15" t="inlineStr">
        <is>
          <t>EDB-S6-2023</t>
        </is>
      </c>
      <c r="B61" t="inlineStr">
        <is>
          <t>2023 Secondary 6 Students’ Pathway Survey</t>
        </is>
      </c>
      <c r="C61" t="inlineStr">
        <is>
          <t>2.2</t>
        </is>
      </c>
      <c r="D61" t="inlineStr">
        <is>
          <t>9</t>
        </is>
      </c>
      <c r="E61" t="inlineStr">
        <is>
          <t>14</t>
        </is>
      </c>
      <c r="F61" t="inlineStr">
        <is>
          <t>2023-10</t>
        </is>
      </c>
      <c r="G61" t="inlineStr">
        <is>
          <t>資助／按位津貼</t>
        </is>
      </c>
      <c r="I61" t="inlineStr">
        <is>
          <t>總數／全日制求學者</t>
        </is>
      </c>
      <c r="K61" t="inlineStr">
        <is>
          <t>30660</t>
        </is>
      </c>
      <c r="L61" t="inlineStr">
        <is>
          <t>100.0</t>
        </is>
      </c>
      <c r="M61" t="inlineStr">
        <is>
          <t>30660</t>
        </is>
      </c>
      <c r="N61" t="inlineStr">
        <is>
          <t>reported</t>
        </is>
      </c>
      <c r="O61" t="inlineStr">
        <is>
          <t>EDB原表總數行；分母為該類別全日制求學者。</t>
        </is>
      </c>
    </row>
    <row r="62">
      <c r="A62" s="15" t="inlineStr">
        <is>
          <t>EDB-S6-2024</t>
        </is>
      </c>
      <c r="B62" t="inlineStr">
        <is>
          <t>2024 Secondary 6 Students’ Pathway Survey</t>
        </is>
      </c>
      <c r="C62" t="inlineStr">
        <is>
          <t>2.2</t>
        </is>
      </c>
      <c r="D62" t="inlineStr">
        <is>
          <t>9</t>
        </is>
      </c>
      <c r="E62" t="inlineStr">
        <is>
          <t>14</t>
        </is>
      </c>
      <c r="F62" t="inlineStr">
        <is>
          <t>2024-10</t>
        </is>
      </c>
      <c r="G62" t="inlineStr">
        <is>
          <t>全體回應畢業生</t>
        </is>
      </c>
      <c r="I62" t="inlineStr">
        <is>
          <t>中六課程</t>
        </is>
      </c>
      <c r="K62" t="inlineStr">
        <is>
          <t>74</t>
        </is>
      </c>
      <c r="L62" t="inlineStr">
        <is>
          <t>0.2</t>
        </is>
      </c>
      <c r="M62" t="inlineStr">
        <is>
          <t>39129</t>
        </is>
      </c>
      <c r="N62" t="inlineStr">
        <is>
          <t>reported</t>
        </is>
      </c>
      <c r="O62" t="inlineStr">
        <is>
          <t>比例分母為同一學校類別中繼續全日制求學者。學士／專上課程的EDB註釋涵蓋公帑資助、自資及海外院校；詳見對應年度原報告。</t>
        </is>
      </c>
    </row>
    <row r="63">
      <c r="A63" s="15" t="inlineStr">
        <is>
          <t>EDB-S6-2024</t>
        </is>
      </c>
      <c r="B63" t="inlineStr">
        <is>
          <t>2024 Secondary 6 Students’ Pathway Survey</t>
        </is>
      </c>
      <c r="C63" t="inlineStr">
        <is>
          <t>2.2</t>
        </is>
      </c>
      <c r="D63" t="inlineStr">
        <is>
          <t>9</t>
        </is>
      </c>
      <c r="E63" t="inlineStr">
        <is>
          <t>14</t>
        </is>
      </c>
      <c r="F63" t="inlineStr">
        <is>
          <t>2024-10</t>
        </is>
      </c>
      <c r="G63" t="inlineStr">
        <is>
          <t>全體回應畢業生</t>
        </is>
      </c>
      <c r="I63" t="inlineStr">
        <is>
          <t>其他全日制課程</t>
        </is>
      </c>
      <c r="K63" t="inlineStr">
        <is>
          <t>6870</t>
        </is>
      </c>
      <c r="L63" t="inlineStr">
        <is>
          <t>17.6</t>
        </is>
      </c>
      <c r="M63" t="inlineStr">
        <is>
          <t>39129</t>
        </is>
      </c>
      <c r="N63" t="inlineStr">
        <is>
          <t>reported</t>
        </is>
      </c>
      <c r="O63" t="inlineStr">
        <is>
          <t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t>
        </is>
      </c>
    </row>
    <row r="64">
      <c r="A64" s="15" t="inlineStr">
        <is>
          <t>EDB-S6-2024</t>
        </is>
      </c>
      <c r="B64" t="inlineStr">
        <is>
          <t>2024 Secondary 6 Students’ Pathway Survey</t>
        </is>
      </c>
      <c r="C64" t="inlineStr">
        <is>
          <t>2.2</t>
        </is>
      </c>
      <c r="D64" t="inlineStr">
        <is>
          <t>9</t>
        </is>
      </c>
      <c r="E64" t="inlineStr">
        <is>
          <t>14</t>
        </is>
      </c>
      <c r="F64" t="inlineStr">
        <is>
          <t>2024-10</t>
        </is>
      </c>
      <c r="G64" t="inlineStr">
        <is>
          <t>全體回應畢業生</t>
        </is>
      </c>
      <c r="I64" t="inlineStr">
        <is>
          <t>學士學位課程</t>
        </is>
      </c>
      <c r="K64" t="inlineStr">
        <is>
          <t>19025</t>
        </is>
      </c>
      <c r="L64" t="inlineStr">
        <is>
          <t>48.6</t>
        </is>
      </c>
      <c r="M64" t="inlineStr">
        <is>
          <t>39129</t>
        </is>
      </c>
      <c r="N64" t="inlineStr">
        <is>
          <t>reported</t>
        </is>
      </c>
      <c r="O64" t="inlineStr">
        <is>
          <t>比例分母為同一學校類別中繼續全日制求學者。學士／專上課程的EDB註釋涵蓋公帑資助、自資及海外院校；詳見對應年度原報告。</t>
        </is>
      </c>
    </row>
    <row r="65">
      <c r="A65" s="15" t="inlineStr">
        <is>
          <t>EDB-S6-2024</t>
        </is>
      </c>
      <c r="B65" t="inlineStr">
        <is>
          <t>2024 Secondary 6 Students’ Pathway Survey</t>
        </is>
      </c>
      <c r="C65" t="inlineStr">
        <is>
          <t>2.2</t>
        </is>
      </c>
      <c r="D65" t="inlineStr">
        <is>
          <t>9</t>
        </is>
      </c>
      <c r="E65" t="inlineStr">
        <is>
          <t>14</t>
        </is>
      </c>
      <c r="F65" t="inlineStr">
        <is>
          <t>2024-10</t>
        </is>
      </c>
      <c r="G65" t="inlineStr">
        <is>
          <t>全體回應畢業生</t>
        </is>
      </c>
      <c r="I65" t="inlineStr">
        <is>
          <t>專上課程（副學士／高級文憑）</t>
        </is>
      </c>
      <c r="K65" t="inlineStr">
        <is>
          <t>13160</t>
        </is>
      </c>
      <c r="L65" t="inlineStr">
        <is>
          <t>33.6</t>
        </is>
      </c>
      <c r="M65" t="inlineStr">
        <is>
          <t>39129</t>
        </is>
      </c>
      <c r="N65" t="inlineStr">
        <is>
          <t>reported</t>
        </is>
      </c>
      <c r="O65" t="inlineStr">
        <is>
          <t>比例分母為同一學校類別中繼續全日制求學者。學士／專上課程的EDB註釋涵蓋公帑資助、自資及海外院校；詳見對應年度原報告。</t>
        </is>
      </c>
    </row>
    <row r="66">
      <c r="A66" s="15" t="inlineStr">
        <is>
          <t>EDB-S6-2024</t>
        </is>
      </c>
      <c r="B66" t="inlineStr">
        <is>
          <t>2024 Secondary 6 Students’ Pathway Survey</t>
        </is>
      </c>
      <c r="C66" t="inlineStr">
        <is>
          <t>2.2</t>
        </is>
      </c>
      <c r="D66" t="inlineStr">
        <is>
          <t>9</t>
        </is>
      </c>
      <c r="E66" t="inlineStr">
        <is>
          <t>14</t>
        </is>
      </c>
      <c r="F66" t="inlineStr">
        <is>
          <t>2024-10</t>
        </is>
      </c>
      <c r="G66" t="inlineStr">
        <is>
          <t>全體回應畢業生</t>
        </is>
      </c>
      <c r="I66" t="inlineStr">
        <is>
          <t>總數／全日制求學者</t>
        </is>
      </c>
      <c r="K66" t="inlineStr">
        <is>
          <t>39129</t>
        </is>
      </c>
      <c r="L66" t="inlineStr">
        <is>
          <t>100.0</t>
        </is>
      </c>
      <c r="M66" t="inlineStr">
        <is>
          <t>39129</t>
        </is>
      </c>
      <c r="N66" t="inlineStr">
        <is>
          <t>reported</t>
        </is>
      </c>
      <c r="O66" t="inlineStr">
        <is>
          <t>EDB原表總數行；分母為該類別全日制求學者。</t>
        </is>
      </c>
    </row>
    <row r="67">
      <c r="A67" s="15" t="inlineStr">
        <is>
          <t>EDB-S6-2024</t>
        </is>
      </c>
      <c r="B67" t="inlineStr">
        <is>
          <t>2024 Secondary 6 Students’ Pathway Survey</t>
        </is>
      </c>
      <c r="C67" t="inlineStr">
        <is>
          <t>2.2</t>
        </is>
      </c>
      <c r="D67" t="inlineStr">
        <is>
          <t>9</t>
        </is>
      </c>
      <c r="E67" t="inlineStr">
        <is>
          <t>14</t>
        </is>
      </c>
      <c r="F67" t="inlineStr">
        <is>
          <t>2024-10</t>
        </is>
      </c>
      <c r="G67" t="inlineStr">
        <is>
          <t>官立</t>
        </is>
      </c>
      <c r="I67" t="inlineStr">
        <is>
          <t>中六課程</t>
        </is>
      </c>
      <c r="K67" t="inlineStr">
        <is>
          <t>6</t>
        </is>
      </c>
      <c r="L67" t="inlineStr">
        <is>
          <t>0.2</t>
        </is>
      </c>
      <c r="M67" t="inlineStr">
        <is>
          <t>2704</t>
        </is>
      </c>
      <c r="N67" t="inlineStr">
        <is>
          <t>reported</t>
        </is>
      </c>
      <c r="O67" t="inlineStr">
        <is>
          <t>比例分母為同一學校類別中繼續全日制求學者。學士／專上課程的EDB註釋涵蓋公帑資助、自資及海外院校；詳見對應年度原報告。</t>
        </is>
      </c>
    </row>
    <row r="68">
      <c r="A68" s="15" t="inlineStr">
        <is>
          <t>EDB-S6-2024</t>
        </is>
      </c>
      <c r="B68" t="inlineStr">
        <is>
          <t>2024 Secondary 6 Students’ Pathway Survey</t>
        </is>
      </c>
      <c r="C68" t="inlineStr">
        <is>
          <t>2.2</t>
        </is>
      </c>
      <c r="D68" t="inlineStr">
        <is>
          <t>9</t>
        </is>
      </c>
      <c r="E68" t="inlineStr">
        <is>
          <t>14</t>
        </is>
      </c>
      <c r="F68" t="inlineStr">
        <is>
          <t>2024-10</t>
        </is>
      </c>
      <c r="G68" t="inlineStr">
        <is>
          <t>官立</t>
        </is>
      </c>
      <c r="I68" t="inlineStr">
        <is>
          <t>其他全日制課程</t>
        </is>
      </c>
      <c r="K68" t="inlineStr">
        <is>
          <t>454</t>
        </is>
      </c>
      <c r="L68" t="inlineStr">
        <is>
          <t>16.8</t>
        </is>
      </c>
      <c r="M68" t="inlineStr">
        <is>
          <t>2704</t>
        </is>
      </c>
      <c r="N68" t="inlineStr">
        <is>
          <t>reported</t>
        </is>
      </c>
      <c r="O68" t="inlineStr">
        <is>
          <t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t>
        </is>
      </c>
    </row>
    <row r="69">
      <c r="A69" s="15" t="inlineStr">
        <is>
          <t>EDB-S6-2024</t>
        </is>
      </c>
      <c r="B69" t="inlineStr">
        <is>
          <t>2024 Secondary 6 Students’ Pathway Survey</t>
        </is>
      </c>
      <c r="C69" t="inlineStr">
        <is>
          <t>2.2</t>
        </is>
      </c>
      <c r="D69" t="inlineStr">
        <is>
          <t>9</t>
        </is>
      </c>
      <c r="E69" t="inlineStr">
        <is>
          <t>14</t>
        </is>
      </c>
      <c r="F69" t="inlineStr">
        <is>
          <t>2024-10</t>
        </is>
      </c>
      <c r="G69" t="inlineStr">
        <is>
          <t>官立</t>
        </is>
      </c>
      <c r="I69" t="inlineStr">
        <is>
          <t>學士學位課程</t>
        </is>
      </c>
      <c r="K69" t="inlineStr">
        <is>
          <t>1434</t>
        </is>
      </c>
      <c r="L69" t="inlineStr">
        <is>
          <t>53.0</t>
        </is>
      </c>
      <c r="M69" t="inlineStr">
        <is>
          <t>2704</t>
        </is>
      </c>
      <c r="N69" t="inlineStr">
        <is>
          <t>reported</t>
        </is>
      </c>
      <c r="O69" t="inlineStr">
        <is>
          <t>比例分母為同一學校類別中繼續全日制求學者。學士／專上課程的EDB註釋涵蓋公帑資助、自資及海外院校；詳見對應年度原報告。</t>
        </is>
      </c>
    </row>
    <row r="70">
      <c r="A70" s="15" t="inlineStr">
        <is>
          <t>EDB-S6-2024</t>
        </is>
      </c>
      <c r="B70" t="inlineStr">
        <is>
          <t>2024 Secondary 6 Students’ Pathway Survey</t>
        </is>
      </c>
      <c r="C70" t="inlineStr">
        <is>
          <t>2.2</t>
        </is>
      </c>
      <c r="D70" t="inlineStr">
        <is>
          <t>9</t>
        </is>
      </c>
      <c r="E70" t="inlineStr">
        <is>
          <t>14</t>
        </is>
      </c>
      <c r="F70" t="inlineStr">
        <is>
          <t>2024-10</t>
        </is>
      </c>
      <c r="G70" t="inlineStr">
        <is>
          <t>官立</t>
        </is>
      </c>
      <c r="I70" t="inlineStr">
        <is>
          <t>專上課程（副學士／高級文憑）</t>
        </is>
      </c>
      <c r="K70" t="inlineStr">
        <is>
          <t>810</t>
        </is>
      </c>
      <c r="L70" t="inlineStr">
        <is>
          <t>30.0</t>
        </is>
      </c>
      <c r="M70" t="inlineStr">
        <is>
          <t>2704</t>
        </is>
      </c>
      <c r="N70" t="inlineStr">
        <is>
          <t>reported</t>
        </is>
      </c>
      <c r="O70" t="inlineStr">
        <is>
          <t>比例分母為同一學校類別中繼續全日制求學者。學士／專上課程的EDB註釋涵蓋公帑資助、自資及海外院校；詳見對應年度原報告。</t>
        </is>
      </c>
    </row>
    <row r="71">
      <c r="A71" s="15" t="inlineStr">
        <is>
          <t>EDB-S6-2024</t>
        </is>
      </c>
      <c r="B71" t="inlineStr">
        <is>
          <t>2024 Secondary 6 Students’ Pathway Survey</t>
        </is>
      </c>
      <c r="C71" t="inlineStr">
        <is>
          <t>2.2</t>
        </is>
      </c>
      <c r="D71" t="inlineStr">
        <is>
          <t>9</t>
        </is>
      </c>
      <c r="E71" t="inlineStr">
        <is>
          <t>14</t>
        </is>
      </c>
      <c r="F71" t="inlineStr">
        <is>
          <t>2024-10</t>
        </is>
      </c>
      <c r="G71" t="inlineStr">
        <is>
          <t>官立</t>
        </is>
      </c>
      <c r="I71" t="inlineStr">
        <is>
          <t>總數／全日制求學者</t>
        </is>
      </c>
      <c r="K71" t="inlineStr">
        <is>
          <t>2704</t>
        </is>
      </c>
      <c r="L71" t="inlineStr">
        <is>
          <t>100.0</t>
        </is>
      </c>
      <c r="M71" t="inlineStr">
        <is>
          <t>2704</t>
        </is>
      </c>
      <c r="N71" t="inlineStr">
        <is>
          <t>reported</t>
        </is>
      </c>
      <c r="O71" t="inlineStr">
        <is>
          <t>EDB原表總數行；分母為該類別全日制求學者。</t>
        </is>
      </c>
    </row>
    <row r="72">
      <c r="A72" s="15" t="inlineStr">
        <is>
          <t>EDB-S6-2024</t>
        </is>
      </c>
      <c r="B72" t="inlineStr">
        <is>
          <t>2024 Secondary 6 Students’ Pathway Survey</t>
        </is>
      </c>
      <c r="C72" t="inlineStr">
        <is>
          <t>2.2</t>
        </is>
      </c>
      <c r="D72" t="inlineStr">
        <is>
          <t>9</t>
        </is>
      </c>
      <c r="E72" t="inlineStr">
        <is>
          <t>14</t>
        </is>
      </c>
      <c r="F72" t="inlineStr">
        <is>
          <t>2024-10</t>
        </is>
      </c>
      <c r="G72" t="inlineStr">
        <is>
          <t>直資／本地私立</t>
        </is>
      </c>
      <c r="I72" t="inlineStr">
        <is>
          <t>中六課程</t>
        </is>
      </c>
      <c r="K72" t="inlineStr">
        <is>
          <t>19</t>
        </is>
      </c>
      <c r="L72" t="inlineStr">
        <is>
          <t>0.3</t>
        </is>
      </c>
      <c r="M72" t="inlineStr">
        <is>
          <t>5597</t>
        </is>
      </c>
      <c r="N72" t="inlineStr">
        <is>
          <t>reported</t>
        </is>
      </c>
      <c r="O72" t="inlineStr">
        <is>
          <t>比例分母為同一學校類別中繼續全日制求學者。學士／專上課程的EDB註釋涵蓋公帑資助、自資及海外院校；詳見對應年度原報告。</t>
        </is>
      </c>
    </row>
    <row r="73">
      <c r="A73" s="15" t="inlineStr">
        <is>
          <t>EDB-S6-2024</t>
        </is>
      </c>
      <c r="B73" t="inlineStr">
        <is>
          <t>2024 Secondary 6 Students’ Pathway Survey</t>
        </is>
      </c>
      <c r="C73" t="inlineStr">
        <is>
          <t>2.2</t>
        </is>
      </c>
      <c r="D73" t="inlineStr">
        <is>
          <t>9</t>
        </is>
      </c>
      <c r="E73" t="inlineStr">
        <is>
          <t>14</t>
        </is>
      </c>
      <c r="F73" t="inlineStr">
        <is>
          <t>2024-10</t>
        </is>
      </c>
      <c r="G73" t="inlineStr">
        <is>
          <t>直資／本地私立</t>
        </is>
      </c>
      <c r="I73" t="inlineStr">
        <is>
          <t>其他全日制課程</t>
        </is>
      </c>
      <c r="K73" t="inlineStr">
        <is>
          <t>843</t>
        </is>
      </c>
      <c r="L73" t="inlineStr">
        <is>
          <t>15.1</t>
        </is>
      </c>
      <c r="M73" t="inlineStr">
        <is>
          <t>5597</t>
        </is>
      </c>
      <c r="N73" t="inlineStr">
        <is>
          <t>reported</t>
        </is>
      </c>
      <c r="O73" t="inlineStr">
        <is>
          <t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t>
        </is>
      </c>
    </row>
    <row r="74">
      <c r="A74" s="15" t="inlineStr">
        <is>
          <t>EDB-S6-2024</t>
        </is>
      </c>
      <c r="B74" t="inlineStr">
        <is>
          <t>2024 Secondary 6 Students’ Pathway Survey</t>
        </is>
      </c>
      <c r="C74" t="inlineStr">
        <is>
          <t>2.2</t>
        </is>
      </c>
      <c r="D74" t="inlineStr">
        <is>
          <t>9</t>
        </is>
      </c>
      <c r="E74" t="inlineStr">
        <is>
          <t>14</t>
        </is>
      </c>
      <c r="F74" t="inlineStr">
        <is>
          <t>2024-10</t>
        </is>
      </c>
      <c r="G74" t="inlineStr">
        <is>
          <t>直資／本地私立</t>
        </is>
      </c>
      <c r="I74" t="inlineStr">
        <is>
          <t>學士學位課程</t>
        </is>
      </c>
      <c r="K74" t="inlineStr">
        <is>
          <t>3339</t>
        </is>
      </c>
      <c r="L74" t="inlineStr">
        <is>
          <t>59.7</t>
        </is>
      </c>
      <c r="M74" t="inlineStr">
        <is>
          <t>5597</t>
        </is>
      </c>
      <c r="N74" t="inlineStr">
        <is>
          <t>reported</t>
        </is>
      </c>
      <c r="O74" t="inlineStr">
        <is>
          <t>比例分母為同一學校類別中繼續全日制求學者。學士／專上課程的EDB註釋涵蓋公帑資助、自資及海外院校；詳見對應年度原報告。</t>
        </is>
      </c>
    </row>
    <row r="75">
      <c r="A75" s="15" t="inlineStr">
        <is>
          <t>EDB-S6-2024</t>
        </is>
      </c>
      <c r="B75" t="inlineStr">
        <is>
          <t>2024 Secondary 6 Students’ Pathway Survey</t>
        </is>
      </c>
      <c r="C75" t="inlineStr">
        <is>
          <t>2.2</t>
        </is>
      </c>
      <c r="D75" t="inlineStr">
        <is>
          <t>9</t>
        </is>
      </c>
      <c r="E75" t="inlineStr">
        <is>
          <t>14</t>
        </is>
      </c>
      <c r="F75" t="inlineStr">
        <is>
          <t>2024-10</t>
        </is>
      </c>
      <c r="G75" t="inlineStr">
        <is>
          <t>直資／本地私立</t>
        </is>
      </c>
      <c r="I75" t="inlineStr">
        <is>
          <t>專上課程（副學士／高級文憑）</t>
        </is>
      </c>
      <c r="K75" t="inlineStr">
        <is>
          <t>1396</t>
        </is>
      </c>
      <c r="L75" t="inlineStr">
        <is>
          <t>24.9</t>
        </is>
      </c>
      <c r="M75" t="inlineStr">
        <is>
          <t>5597</t>
        </is>
      </c>
      <c r="N75" t="inlineStr">
        <is>
          <t>reported</t>
        </is>
      </c>
      <c r="O75" t="inlineStr">
        <is>
          <t>比例分母為同一學校類別中繼續全日制求學者。學士／專上課程的EDB註釋涵蓋公帑資助、自資及海外院校；詳見對應年度原報告。</t>
        </is>
      </c>
    </row>
    <row r="76">
      <c r="A76" s="15" t="inlineStr">
        <is>
          <t>EDB-S6-2024</t>
        </is>
      </c>
      <c r="B76" t="inlineStr">
        <is>
          <t>2024 Secondary 6 Students’ Pathway Survey</t>
        </is>
      </c>
      <c r="C76" t="inlineStr">
        <is>
          <t>2.2</t>
        </is>
      </c>
      <c r="D76" t="inlineStr">
        <is>
          <t>9</t>
        </is>
      </c>
      <c r="E76" t="inlineStr">
        <is>
          <t>14</t>
        </is>
      </c>
      <c r="F76" t="inlineStr">
        <is>
          <t>2024-10</t>
        </is>
      </c>
      <c r="G76" t="inlineStr">
        <is>
          <t>直資／本地私立</t>
        </is>
      </c>
      <c r="I76" t="inlineStr">
        <is>
          <t>總數／全日制求學者</t>
        </is>
      </c>
      <c r="K76" t="inlineStr">
        <is>
          <t>5597</t>
        </is>
      </c>
      <c r="L76" t="inlineStr">
        <is>
          <t>100.0</t>
        </is>
      </c>
      <c r="M76" t="inlineStr">
        <is>
          <t>5597</t>
        </is>
      </c>
      <c r="N76" t="inlineStr">
        <is>
          <t>reported</t>
        </is>
      </c>
      <c r="O76" t="inlineStr">
        <is>
          <t>EDB原表總數行；分母為該類別全日制求學者。</t>
        </is>
      </c>
    </row>
    <row r="77">
      <c r="A77" s="15" t="inlineStr">
        <is>
          <t>EDB-S6-2024</t>
        </is>
      </c>
      <c r="B77" t="inlineStr">
        <is>
          <t>2024 Secondary 6 Students’ Pathway Survey</t>
        </is>
      </c>
      <c r="C77" t="inlineStr">
        <is>
          <t>2.2</t>
        </is>
      </c>
      <c r="D77" t="inlineStr">
        <is>
          <t>9</t>
        </is>
      </c>
      <c r="E77" t="inlineStr">
        <is>
          <t>14</t>
        </is>
      </c>
      <c r="F77" t="inlineStr">
        <is>
          <t>2024-10</t>
        </is>
      </c>
      <c r="G77" t="inlineStr">
        <is>
          <t>資助／按位津貼</t>
        </is>
      </c>
      <c r="I77" t="inlineStr">
        <is>
          <t>中六課程</t>
        </is>
      </c>
      <c r="K77" t="inlineStr">
        <is>
          <t>49</t>
        </is>
      </c>
      <c r="L77" t="inlineStr">
        <is>
          <t>0.2</t>
        </is>
      </c>
      <c r="M77" t="inlineStr">
        <is>
          <t>30828</t>
        </is>
      </c>
      <c r="N77" t="inlineStr">
        <is>
          <t>reported</t>
        </is>
      </c>
      <c r="O77" t="inlineStr">
        <is>
          <t>比例分母為同一學校類別中繼續全日制求學者。學士／專上課程的EDB註釋涵蓋公帑資助、自資及海外院校；詳見對應年度原報告。</t>
        </is>
      </c>
    </row>
    <row r="78">
      <c r="A78" s="15" t="inlineStr">
        <is>
          <t>EDB-S6-2024</t>
        </is>
      </c>
      <c r="B78" t="inlineStr">
        <is>
          <t>2024 Secondary 6 Students’ Pathway Survey</t>
        </is>
      </c>
      <c r="C78" t="inlineStr">
        <is>
          <t>2.2</t>
        </is>
      </c>
      <c r="D78" t="inlineStr">
        <is>
          <t>9</t>
        </is>
      </c>
      <c r="E78" t="inlineStr">
        <is>
          <t>14</t>
        </is>
      </c>
      <c r="F78" t="inlineStr">
        <is>
          <t>2024-10</t>
        </is>
      </c>
      <c r="G78" t="inlineStr">
        <is>
          <t>資助／按位津貼</t>
        </is>
      </c>
      <c r="I78" t="inlineStr">
        <is>
          <t>其他全日制課程</t>
        </is>
      </c>
      <c r="K78" t="inlineStr">
        <is>
          <t>5573</t>
        </is>
      </c>
      <c r="L78" t="inlineStr">
        <is>
          <t>18.1</t>
        </is>
      </c>
      <c r="M78" t="inlineStr">
        <is>
          <t>30828</t>
        </is>
      </c>
      <c r="N78" t="inlineStr">
        <is>
          <t>reported</t>
        </is>
      </c>
      <c r="O78" t="inlineStr">
        <is>
          <t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t>
        </is>
      </c>
    </row>
    <row r="79">
      <c r="A79" s="15" t="inlineStr">
        <is>
          <t>EDB-S6-2024</t>
        </is>
      </c>
      <c r="B79" t="inlineStr">
        <is>
          <t>2024 Secondary 6 Students’ Pathway Survey</t>
        </is>
      </c>
      <c r="C79" t="inlineStr">
        <is>
          <t>2.2</t>
        </is>
      </c>
      <c r="D79" t="inlineStr">
        <is>
          <t>9</t>
        </is>
      </c>
      <c r="E79" t="inlineStr">
        <is>
          <t>14</t>
        </is>
      </c>
      <c r="F79" t="inlineStr">
        <is>
          <t>2024-10</t>
        </is>
      </c>
      <c r="G79" t="inlineStr">
        <is>
          <t>資助／按位津貼</t>
        </is>
      </c>
      <c r="I79" t="inlineStr">
        <is>
          <t>學士學位課程</t>
        </is>
      </c>
      <c r="K79" t="inlineStr">
        <is>
          <t>14252</t>
        </is>
      </c>
      <c r="L79" t="inlineStr">
        <is>
          <t>46.2</t>
        </is>
      </c>
      <c r="M79" t="inlineStr">
        <is>
          <t>30828</t>
        </is>
      </c>
      <c r="N79" t="inlineStr">
        <is>
          <t>reported</t>
        </is>
      </c>
      <c r="O79" t="inlineStr">
        <is>
          <t>比例分母為同一學校類別中繼續全日制求學者。學士／專上課程的EDB註釋涵蓋公帑資助、自資及海外院校；詳見對應年度原報告。</t>
        </is>
      </c>
    </row>
    <row r="80">
      <c r="A80" s="15" t="inlineStr">
        <is>
          <t>EDB-S6-2024</t>
        </is>
      </c>
      <c r="B80" t="inlineStr">
        <is>
          <t>2024 Secondary 6 Students’ Pathway Survey</t>
        </is>
      </c>
      <c r="C80" t="inlineStr">
        <is>
          <t>2.2</t>
        </is>
      </c>
      <c r="D80" t="inlineStr">
        <is>
          <t>9</t>
        </is>
      </c>
      <c r="E80" t="inlineStr">
        <is>
          <t>14</t>
        </is>
      </c>
      <c r="F80" t="inlineStr">
        <is>
          <t>2024-10</t>
        </is>
      </c>
      <c r="G80" t="inlineStr">
        <is>
          <t>資助／按位津貼</t>
        </is>
      </c>
      <c r="I80" t="inlineStr">
        <is>
          <t>專上課程（副學士／高級文憑）</t>
        </is>
      </c>
      <c r="K80" t="inlineStr">
        <is>
          <t>10954</t>
        </is>
      </c>
      <c r="L80" t="inlineStr">
        <is>
          <t>35.5</t>
        </is>
      </c>
      <c r="M80" t="inlineStr">
        <is>
          <t>30828</t>
        </is>
      </c>
      <c r="N80" t="inlineStr">
        <is>
          <t>reported</t>
        </is>
      </c>
      <c r="O80" t="inlineStr">
        <is>
          <t>比例分母為同一學校類別中繼續全日制求學者。學士／專上課程的EDB註釋涵蓋公帑資助、自資及海外院校；詳見對應年度原報告。</t>
        </is>
      </c>
    </row>
    <row r="81">
      <c r="A81" s="15" t="inlineStr">
        <is>
          <t>EDB-S6-2024</t>
        </is>
      </c>
      <c r="B81" t="inlineStr">
        <is>
          <t>2024 Secondary 6 Students’ Pathway Survey</t>
        </is>
      </c>
      <c r="C81" t="inlineStr">
        <is>
          <t>2.2</t>
        </is>
      </c>
      <c r="D81" t="inlineStr">
        <is>
          <t>9</t>
        </is>
      </c>
      <c r="E81" t="inlineStr">
        <is>
          <t>14</t>
        </is>
      </c>
      <c r="F81" t="inlineStr">
        <is>
          <t>2024-10</t>
        </is>
      </c>
      <c r="G81" t="inlineStr">
        <is>
          <t>資助／按位津貼</t>
        </is>
      </c>
      <c r="I81" t="inlineStr">
        <is>
          <t>總數／全日制求學者</t>
        </is>
      </c>
      <c r="K81" t="inlineStr">
        <is>
          <t>30828</t>
        </is>
      </c>
      <c r="L81" t="inlineStr">
        <is>
          <t>100.0</t>
        </is>
      </c>
      <c r="M81" t="inlineStr">
        <is>
          <t>30828</t>
        </is>
      </c>
      <c r="N81" t="inlineStr">
        <is>
          <t>reported</t>
        </is>
      </c>
      <c r="O81" t="inlineStr">
        <is>
          <t>EDB原表總數行；分母為該類別全日制求學者。</t>
        </is>
      </c>
    </row>
    <row r="82">
      <c r="A82" s="15" t="inlineStr">
        <is>
          <t>EDB-S6-2025</t>
        </is>
      </c>
      <c r="B82" t="inlineStr">
        <is>
          <t>2025 Survey on Destinations of Secondary 6 Graduates</t>
        </is>
      </c>
      <c r="C82" t="inlineStr">
        <is>
          <t>2.2</t>
        </is>
      </c>
      <c r="D82" t="inlineStr">
        <is>
          <t>9</t>
        </is>
      </c>
      <c r="E82" t="inlineStr">
        <is>
          <t>14</t>
        </is>
      </c>
      <c r="F82" t="inlineStr">
        <is>
          <t>2025-10</t>
        </is>
      </c>
      <c r="G82" t="inlineStr">
        <is>
          <t>全體回應畢業生</t>
        </is>
      </c>
      <c r="I82" t="inlineStr">
        <is>
          <t>中六課程</t>
        </is>
      </c>
      <c r="K82" t="inlineStr">
        <is>
          <t>90</t>
        </is>
      </c>
      <c r="L82" t="inlineStr">
        <is>
          <t>0.2</t>
        </is>
      </c>
      <c r="M82" t="inlineStr">
        <is>
          <t>40948</t>
        </is>
      </c>
      <c r="N82" t="inlineStr">
        <is>
          <t>reported</t>
        </is>
      </c>
      <c r="O82" t="inlineStr">
        <is>
          <t>百分比的分母為同一學校類別中繼續全日制升學的畢業生。</t>
        </is>
      </c>
    </row>
    <row r="83">
      <c r="A83" s="15" t="inlineStr">
        <is>
          <t>EDB-S6-2025</t>
        </is>
      </c>
      <c r="B83" t="inlineStr">
        <is>
          <t>2025 Survey on Destinations of Secondary 6 Graduates</t>
        </is>
      </c>
      <c r="C83" t="inlineStr">
        <is>
          <t>2.2</t>
        </is>
      </c>
      <c r="D83" t="inlineStr">
        <is>
          <t>9</t>
        </is>
      </c>
      <c r="E83" t="inlineStr">
        <is>
          <t>14</t>
        </is>
      </c>
      <c r="F83" t="inlineStr">
        <is>
          <t>2025-10</t>
        </is>
      </c>
      <c r="G83" t="inlineStr">
        <is>
          <t>全體回應畢業生</t>
        </is>
      </c>
      <c r="I83" t="inlineStr">
        <is>
          <t>其他全日制課程</t>
        </is>
      </c>
      <c r="K83" t="inlineStr">
        <is>
          <t>8124</t>
        </is>
      </c>
      <c r="L83" t="inlineStr">
        <is>
          <t>19.8</t>
        </is>
      </c>
      <c r="M83" t="inlineStr">
        <is>
          <t>40948</t>
        </is>
      </c>
      <c r="N83" t="inlineStr">
        <is>
          <t>reported</t>
        </is>
      </c>
      <c r="O83" t="inlineStr">
        <is>
          <t>百分比的分母為同一學校類別中繼續全日制升學的畢業生。</t>
        </is>
      </c>
    </row>
    <row r="84">
      <c r="A84" s="15" t="inlineStr">
        <is>
          <t>EDB-S6-2025</t>
        </is>
      </c>
      <c r="B84" t="inlineStr">
        <is>
          <t>2025 Survey on Destinations of Secondary 6 Graduates</t>
        </is>
      </c>
      <c r="C84" t="inlineStr">
        <is>
          <t>2.2</t>
        </is>
      </c>
      <c r="D84" t="inlineStr">
        <is>
          <t>9</t>
        </is>
      </c>
      <c r="E84" t="inlineStr">
        <is>
          <t>14</t>
        </is>
      </c>
      <c r="F84" t="inlineStr">
        <is>
          <t>2025-10</t>
        </is>
      </c>
      <c r="G84" t="inlineStr">
        <is>
          <t>全體回應畢業生</t>
        </is>
      </c>
      <c r="I84" t="inlineStr">
        <is>
          <t>學士學位課程</t>
        </is>
      </c>
      <c r="K84" t="inlineStr">
        <is>
          <t>18934</t>
        </is>
      </c>
      <c r="L84" t="inlineStr">
        <is>
          <t>46.2</t>
        </is>
      </c>
      <c r="M84" t="inlineStr">
        <is>
          <t>40948</t>
        </is>
      </c>
      <c r="N84" t="inlineStr">
        <is>
          <t>reported</t>
        </is>
      </c>
      <c r="O84" t="inlineStr">
        <is>
          <t>百分比的分母為同一學校類別中繼續全日制升學的畢業生。</t>
        </is>
      </c>
    </row>
    <row r="85">
      <c r="A85" s="15" t="inlineStr">
        <is>
          <t>EDB-S6-2025</t>
        </is>
      </c>
      <c r="B85" t="inlineStr">
        <is>
          <t>2025 Survey on Destinations of Secondary 6 Graduates</t>
        </is>
      </c>
      <c r="C85" t="inlineStr">
        <is>
          <t>2.2</t>
        </is>
      </c>
      <c r="D85" t="inlineStr">
        <is>
          <t>9</t>
        </is>
      </c>
      <c r="E85" t="inlineStr">
        <is>
          <t>14</t>
        </is>
      </c>
      <c r="F85" t="inlineStr">
        <is>
          <t>2025-10</t>
        </is>
      </c>
      <c r="G85" t="inlineStr">
        <is>
          <t>全體回應畢業生</t>
        </is>
      </c>
      <c r="I85" t="inlineStr">
        <is>
          <t>專上課程（副學士／高級文憑）</t>
        </is>
      </c>
      <c r="K85" t="inlineStr">
        <is>
          <t>13800</t>
        </is>
      </c>
      <c r="L85" t="inlineStr">
        <is>
          <t>33.7</t>
        </is>
      </c>
      <c r="M85" t="inlineStr">
        <is>
          <t>40948</t>
        </is>
      </c>
      <c r="N85" t="inlineStr">
        <is>
          <t>reported</t>
        </is>
      </c>
      <c r="O85" t="inlineStr">
        <is>
          <t>百分比的分母為同一學校類別中繼續全日制升學的畢業生。</t>
        </is>
      </c>
    </row>
    <row r="86">
      <c r="A86" s="15" t="inlineStr">
        <is>
          <t>EDB-S6-2025</t>
        </is>
      </c>
      <c r="B86" t="inlineStr">
        <is>
          <t>2025 Survey on Destinations of Secondary 6 Graduates</t>
        </is>
      </c>
      <c r="C86" t="inlineStr">
        <is>
          <t>2.2</t>
        </is>
      </c>
      <c r="D86" t="inlineStr">
        <is>
          <t>9</t>
        </is>
      </c>
      <c r="E86" t="inlineStr">
        <is>
          <t>14</t>
        </is>
      </c>
      <c r="F86" t="inlineStr">
        <is>
          <t>2025-10</t>
        </is>
      </c>
      <c r="G86" t="inlineStr">
        <is>
          <t>全體回應畢業生</t>
        </is>
      </c>
      <c r="I86" t="inlineStr">
        <is>
          <t>總數／全日制求學者</t>
        </is>
      </c>
      <c r="K86" t="inlineStr">
        <is>
          <t>40948</t>
        </is>
      </c>
      <c r="L86" t="inlineStr">
        <is>
          <t>100.0</t>
        </is>
      </c>
      <c r="M86" t="inlineStr">
        <is>
          <t>40948</t>
        </is>
      </c>
      <c r="N86" t="inlineStr">
        <is>
          <t>reported</t>
        </is>
      </c>
      <c r="O86" t="inlineStr">
        <is>
          <t>原表總數行。</t>
        </is>
      </c>
    </row>
    <row r="87">
      <c r="A87" s="15" t="inlineStr">
        <is>
          <t>EDB-S6-2025</t>
        </is>
      </c>
      <c r="B87" t="inlineStr">
        <is>
          <t>2025 Survey on Destinations of Secondary 6 Graduates</t>
        </is>
      </c>
      <c r="C87" t="inlineStr">
        <is>
          <t>2.2</t>
        </is>
      </c>
      <c r="D87" t="inlineStr">
        <is>
          <t>9</t>
        </is>
      </c>
      <c r="E87" t="inlineStr">
        <is>
          <t>14</t>
        </is>
      </c>
      <c r="F87" t="inlineStr">
        <is>
          <t>2025-10</t>
        </is>
      </c>
      <c r="G87" t="inlineStr">
        <is>
          <t>官立</t>
        </is>
      </c>
      <c r="I87" t="inlineStr">
        <is>
          <t>中六課程</t>
        </is>
      </c>
      <c r="K87" t="inlineStr">
        <is>
          <t>5</t>
        </is>
      </c>
      <c r="L87" t="inlineStr">
        <is>
          <t>0.2</t>
        </is>
      </c>
      <c r="M87" t="inlineStr">
        <is>
          <t>2805</t>
        </is>
      </c>
      <c r="N87" t="inlineStr">
        <is>
          <t>reported</t>
        </is>
      </c>
      <c r="O87" t="inlineStr">
        <is>
          <t>百分比的分母為同一學校類別中繼續全日制升學的畢業生。</t>
        </is>
      </c>
    </row>
    <row r="88">
      <c r="A88" s="15" t="inlineStr">
        <is>
          <t>EDB-S6-2025</t>
        </is>
      </c>
      <c r="B88" t="inlineStr">
        <is>
          <t>2025 Survey on Destinations of Secondary 6 Graduates</t>
        </is>
      </c>
      <c r="C88" t="inlineStr">
        <is>
          <t>2.2</t>
        </is>
      </c>
      <c r="D88" t="inlineStr">
        <is>
          <t>9</t>
        </is>
      </c>
      <c r="E88" t="inlineStr">
        <is>
          <t>14</t>
        </is>
      </c>
      <c r="F88" t="inlineStr">
        <is>
          <t>2025-10</t>
        </is>
      </c>
      <c r="G88" t="inlineStr">
        <is>
          <t>官立</t>
        </is>
      </c>
      <c r="I88" t="inlineStr">
        <is>
          <t>其他全日制課程</t>
        </is>
      </c>
      <c r="K88" t="inlineStr">
        <is>
          <t>542</t>
        </is>
      </c>
      <c r="L88" t="inlineStr">
        <is>
          <t>19.3</t>
        </is>
      </c>
      <c r="M88" t="inlineStr">
        <is>
          <t>2805</t>
        </is>
      </c>
      <c r="N88" t="inlineStr">
        <is>
          <t>reported</t>
        </is>
      </c>
      <c r="O88" t="inlineStr">
        <is>
          <t>百分比的分母為同一學校類別中繼續全日制升學的畢業生。</t>
        </is>
      </c>
    </row>
    <row r="89">
      <c r="A89" s="15" t="inlineStr">
        <is>
          <t>EDB-S6-2025</t>
        </is>
      </c>
      <c r="B89" t="inlineStr">
        <is>
          <t>2025 Survey on Destinations of Secondary 6 Graduates</t>
        </is>
      </c>
      <c r="C89" t="inlineStr">
        <is>
          <t>2.2</t>
        </is>
      </c>
      <c r="D89" t="inlineStr">
        <is>
          <t>9</t>
        </is>
      </c>
      <c r="E89" t="inlineStr">
        <is>
          <t>14</t>
        </is>
      </c>
      <c r="F89" t="inlineStr">
        <is>
          <t>2025-10</t>
        </is>
      </c>
      <c r="G89" t="inlineStr">
        <is>
          <t>官立</t>
        </is>
      </c>
      <c r="I89" t="inlineStr">
        <is>
          <t>學士學位課程</t>
        </is>
      </c>
      <c r="K89" t="inlineStr">
        <is>
          <t>1378</t>
        </is>
      </c>
      <c r="L89" t="inlineStr">
        <is>
          <t>49.1</t>
        </is>
      </c>
      <c r="M89" t="inlineStr">
        <is>
          <t>2805</t>
        </is>
      </c>
      <c r="N89" t="inlineStr">
        <is>
          <t>reported</t>
        </is>
      </c>
      <c r="O89" t="inlineStr">
        <is>
          <t>百分比的分母為同一學校類別中繼續全日制升學的畢業生。</t>
        </is>
      </c>
    </row>
    <row r="90">
      <c r="A90" s="15" t="inlineStr">
        <is>
          <t>EDB-S6-2025</t>
        </is>
      </c>
      <c r="B90" t="inlineStr">
        <is>
          <t>2025 Survey on Destinations of Secondary 6 Graduates</t>
        </is>
      </c>
      <c r="C90" t="inlineStr">
        <is>
          <t>2.2</t>
        </is>
      </c>
      <c r="D90" t="inlineStr">
        <is>
          <t>9</t>
        </is>
      </c>
      <c r="E90" t="inlineStr">
        <is>
          <t>14</t>
        </is>
      </c>
      <c r="F90" t="inlineStr">
        <is>
          <t>2025-10</t>
        </is>
      </c>
      <c r="G90" t="inlineStr">
        <is>
          <t>官立</t>
        </is>
      </c>
      <c r="I90" t="inlineStr">
        <is>
          <t>專上課程（副學士／高級文憑）</t>
        </is>
      </c>
      <c r="K90" t="inlineStr">
        <is>
          <t>880</t>
        </is>
      </c>
      <c r="L90" t="inlineStr">
        <is>
          <t>31.4</t>
        </is>
      </c>
      <c r="M90" t="inlineStr">
        <is>
          <t>2805</t>
        </is>
      </c>
      <c r="N90" t="inlineStr">
        <is>
          <t>reported</t>
        </is>
      </c>
      <c r="O90" t="inlineStr">
        <is>
          <t>百分比的分母為同一學校類別中繼續全日制升學的畢業生。</t>
        </is>
      </c>
    </row>
    <row r="91">
      <c r="A91" s="15" t="inlineStr">
        <is>
          <t>EDB-S6-2025</t>
        </is>
      </c>
      <c r="B91" t="inlineStr">
        <is>
          <t>2025 Survey on Destinations of Secondary 6 Graduates</t>
        </is>
      </c>
      <c r="C91" t="inlineStr">
        <is>
          <t>2.2</t>
        </is>
      </c>
      <c r="D91" t="inlineStr">
        <is>
          <t>9</t>
        </is>
      </c>
      <c r="E91" t="inlineStr">
        <is>
          <t>14</t>
        </is>
      </c>
      <c r="F91" t="inlineStr">
        <is>
          <t>2025-10</t>
        </is>
      </c>
      <c r="G91" t="inlineStr">
        <is>
          <t>官立</t>
        </is>
      </c>
      <c r="I91" t="inlineStr">
        <is>
          <t>總數／全日制求學者</t>
        </is>
      </c>
      <c r="K91" t="inlineStr">
        <is>
          <t>2805</t>
        </is>
      </c>
      <c r="L91" t="inlineStr">
        <is>
          <t>100.0</t>
        </is>
      </c>
      <c r="M91" t="inlineStr">
        <is>
          <t>2805</t>
        </is>
      </c>
      <c r="N91" t="inlineStr">
        <is>
          <t>reported</t>
        </is>
      </c>
      <c r="O91" t="inlineStr">
        <is>
          <t>原表總數行。</t>
        </is>
      </c>
    </row>
    <row r="92">
      <c r="A92" s="15" t="inlineStr">
        <is>
          <t>EDB-S6-2025</t>
        </is>
      </c>
      <c r="B92" t="inlineStr">
        <is>
          <t>2025 Survey on Destinations of Secondary 6 Graduates</t>
        </is>
      </c>
      <c r="C92" t="inlineStr">
        <is>
          <t>2.2</t>
        </is>
      </c>
      <c r="D92" t="inlineStr">
        <is>
          <t>9</t>
        </is>
      </c>
      <c r="E92" t="inlineStr">
        <is>
          <t>14</t>
        </is>
      </c>
      <c r="F92" t="inlineStr">
        <is>
          <t>2025-10</t>
        </is>
      </c>
      <c r="G92" t="inlineStr">
        <is>
          <t>直資／本地私立</t>
        </is>
      </c>
      <c r="I92" t="inlineStr">
        <is>
          <t>中六課程</t>
        </is>
      </c>
      <c r="K92" t="inlineStr">
        <is>
          <t>23</t>
        </is>
      </c>
      <c r="L92" t="inlineStr">
        <is>
          <t>0.4</t>
        </is>
      </c>
      <c r="M92" t="inlineStr">
        <is>
          <t>5806</t>
        </is>
      </c>
      <c r="N92" t="inlineStr">
        <is>
          <t>reported</t>
        </is>
      </c>
      <c r="O92" t="inlineStr">
        <is>
          <t>百分比的分母為同一學校類別中繼續全日制升學的畢業生。</t>
        </is>
      </c>
    </row>
    <row r="93">
      <c r="A93" s="15" t="inlineStr">
        <is>
          <t>EDB-S6-2025</t>
        </is>
      </c>
      <c r="B93" t="inlineStr">
        <is>
          <t>2025 Survey on Destinations of Secondary 6 Graduates</t>
        </is>
      </c>
      <c r="C93" t="inlineStr">
        <is>
          <t>2.2</t>
        </is>
      </c>
      <c r="D93" t="inlineStr">
        <is>
          <t>9</t>
        </is>
      </c>
      <c r="E93" t="inlineStr">
        <is>
          <t>14</t>
        </is>
      </c>
      <c r="F93" t="inlineStr">
        <is>
          <t>2025-10</t>
        </is>
      </c>
      <c r="G93" t="inlineStr">
        <is>
          <t>直資／本地私立</t>
        </is>
      </c>
      <c r="I93" t="inlineStr">
        <is>
          <t>其他全日制課程</t>
        </is>
      </c>
      <c r="K93" t="inlineStr">
        <is>
          <t>943</t>
        </is>
      </c>
      <c r="L93" t="inlineStr">
        <is>
          <t>16.2</t>
        </is>
      </c>
      <c r="M93" t="inlineStr">
        <is>
          <t>5806</t>
        </is>
      </c>
      <c r="N93" t="inlineStr">
        <is>
          <t>reported</t>
        </is>
      </c>
      <c r="O93" t="inlineStr">
        <is>
          <t>百分比的分母為同一學校類別中繼續全日制升學的畢業生。</t>
        </is>
      </c>
    </row>
    <row r="94">
      <c r="A94" s="15" t="inlineStr">
        <is>
          <t>EDB-S6-2025</t>
        </is>
      </c>
      <c r="B94" t="inlineStr">
        <is>
          <t>2025 Survey on Destinations of Secondary 6 Graduates</t>
        </is>
      </c>
      <c r="C94" t="inlineStr">
        <is>
          <t>2.2</t>
        </is>
      </c>
      <c r="D94" t="inlineStr">
        <is>
          <t>9</t>
        </is>
      </c>
      <c r="E94" t="inlineStr">
        <is>
          <t>14</t>
        </is>
      </c>
      <c r="F94" t="inlineStr">
        <is>
          <t>2025-10</t>
        </is>
      </c>
      <c r="G94" t="inlineStr">
        <is>
          <t>直資／本地私立</t>
        </is>
      </c>
      <c r="I94" t="inlineStr">
        <is>
          <t>學士學位課程</t>
        </is>
      </c>
      <c r="K94" t="inlineStr">
        <is>
          <t>3433</t>
        </is>
      </c>
      <c r="L94" t="inlineStr">
        <is>
          <t>59.1</t>
        </is>
      </c>
      <c r="M94" t="inlineStr">
        <is>
          <t>5806</t>
        </is>
      </c>
      <c r="N94" t="inlineStr">
        <is>
          <t>reported</t>
        </is>
      </c>
      <c r="O94" t="inlineStr">
        <is>
          <t>百分比的分母為同一學校類別中繼續全日制升學的畢業生。</t>
        </is>
      </c>
    </row>
    <row r="95">
      <c r="A95" s="15" t="inlineStr">
        <is>
          <t>EDB-S6-2025</t>
        </is>
      </c>
      <c r="B95" t="inlineStr">
        <is>
          <t>2025 Survey on Destinations of Secondary 6 Graduates</t>
        </is>
      </c>
      <c r="C95" t="inlineStr">
        <is>
          <t>2.2</t>
        </is>
      </c>
      <c r="D95" t="inlineStr">
        <is>
          <t>9</t>
        </is>
      </c>
      <c r="E95" t="inlineStr">
        <is>
          <t>14</t>
        </is>
      </c>
      <c r="F95" t="inlineStr">
        <is>
          <t>2025-10</t>
        </is>
      </c>
      <c r="G95" t="inlineStr">
        <is>
          <t>直資／本地私立</t>
        </is>
      </c>
      <c r="I95" t="inlineStr">
        <is>
          <t>專上課程（副學士／高級文憑）</t>
        </is>
      </c>
      <c r="K95" t="inlineStr">
        <is>
          <t>1407</t>
        </is>
      </c>
      <c r="L95" t="inlineStr">
        <is>
          <t>24.2</t>
        </is>
      </c>
      <c r="M95" t="inlineStr">
        <is>
          <t>5806</t>
        </is>
      </c>
      <c r="N95" t="inlineStr">
        <is>
          <t>reported</t>
        </is>
      </c>
      <c r="O95" t="inlineStr">
        <is>
          <t>百分比的分母為同一學校類別中繼續全日制升學的畢業生。</t>
        </is>
      </c>
    </row>
    <row r="96">
      <c r="A96" s="15" t="inlineStr">
        <is>
          <t>EDB-S6-2025</t>
        </is>
      </c>
      <c r="B96" t="inlineStr">
        <is>
          <t>2025 Survey on Destinations of Secondary 6 Graduates</t>
        </is>
      </c>
      <c r="C96" t="inlineStr">
        <is>
          <t>2.2</t>
        </is>
      </c>
      <c r="D96" t="inlineStr">
        <is>
          <t>9</t>
        </is>
      </c>
      <c r="E96" t="inlineStr">
        <is>
          <t>14</t>
        </is>
      </c>
      <c r="F96" t="inlineStr">
        <is>
          <t>2025-10</t>
        </is>
      </c>
      <c r="G96" t="inlineStr">
        <is>
          <t>直資／本地私立</t>
        </is>
      </c>
      <c r="I96" t="inlineStr">
        <is>
          <t>總數／全日制求學者</t>
        </is>
      </c>
      <c r="K96" t="inlineStr">
        <is>
          <t>5806</t>
        </is>
      </c>
      <c r="L96" t="inlineStr">
        <is>
          <t>100.0</t>
        </is>
      </c>
      <c r="M96" t="inlineStr">
        <is>
          <t>5806</t>
        </is>
      </c>
      <c r="N96" t="inlineStr">
        <is>
          <t>reported</t>
        </is>
      </c>
      <c r="O96" t="inlineStr">
        <is>
          <t>原表總數行。</t>
        </is>
      </c>
    </row>
    <row r="97">
      <c r="A97" s="15" t="inlineStr">
        <is>
          <t>EDB-S6-2025</t>
        </is>
      </c>
      <c r="B97" t="inlineStr">
        <is>
          <t>2025 Survey on Destinations of Secondary 6 Graduates</t>
        </is>
      </c>
      <c r="C97" t="inlineStr">
        <is>
          <t>2.2</t>
        </is>
      </c>
      <c r="D97" t="inlineStr">
        <is>
          <t>9</t>
        </is>
      </c>
      <c r="E97" t="inlineStr">
        <is>
          <t>14</t>
        </is>
      </c>
      <c r="F97" t="inlineStr">
        <is>
          <t>2025-10</t>
        </is>
      </c>
      <c r="G97" t="inlineStr">
        <is>
          <t>資助／按位津貼</t>
        </is>
      </c>
      <c r="I97" t="inlineStr">
        <is>
          <t>中六課程</t>
        </is>
      </c>
      <c r="K97" t="inlineStr">
        <is>
          <t>62</t>
        </is>
      </c>
      <c r="L97" t="inlineStr">
        <is>
          <t>0.2</t>
        </is>
      </c>
      <c r="M97" t="inlineStr">
        <is>
          <t>32337</t>
        </is>
      </c>
      <c r="N97" t="inlineStr">
        <is>
          <t>reported</t>
        </is>
      </c>
      <c r="O97" t="inlineStr">
        <is>
          <t>百分比的分母為同一學校類別中繼續全日制升學的畢業生。</t>
        </is>
      </c>
    </row>
    <row r="98">
      <c r="A98" s="15" t="inlineStr">
        <is>
          <t>EDB-S6-2025</t>
        </is>
      </c>
      <c r="B98" t="inlineStr">
        <is>
          <t>2025 Survey on Destinations of Secondary 6 Graduates</t>
        </is>
      </c>
      <c r="C98" t="inlineStr">
        <is>
          <t>2.2</t>
        </is>
      </c>
      <c r="D98" t="inlineStr">
        <is>
          <t>9</t>
        </is>
      </c>
      <c r="E98" t="inlineStr">
        <is>
          <t>14</t>
        </is>
      </c>
      <c r="F98" t="inlineStr">
        <is>
          <t>2025-10</t>
        </is>
      </c>
      <c r="G98" t="inlineStr">
        <is>
          <t>資助／按位津貼</t>
        </is>
      </c>
      <c r="I98" t="inlineStr">
        <is>
          <t>其他全日制課程</t>
        </is>
      </c>
      <c r="K98" t="inlineStr">
        <is>
          <t>6639</t>
        </is>
      </c>
      <c r="L98" t="inlineStr">
        <is>
          <t>20.5</t>
        </is>
      </c>
      <c r="M98" t="inlineStr">
        <is>
          <t>32337</t>
        </is>
      </c>
      <c r="N98" t="inlineStr">
        <is>
          <t>reported</t>
        </is>
      </c>
      <c r="O98" t="inlineStr">
        <is>
          <t>百分比的分母為同一學校類別中繼續全日制升學的畢業生。</t>
        </is>
      </c>
    </row>
    <row r="99">
      <c r="A99" s="15" t="inlineStr">
        <is>
          <t>EDB-S6-2025</t>
        </is>
      </c>
      <c r="B99" t="inlineStr">
        <is>
          <t>2025 Survey on Destinations of Secondary 6 Graduates</t>
        </is>
      </c>
      <c r="C99" t="inlineStr">
        <is>
          <t>2.2</t>
        </is>
      </c>
      <c r="D99" t="inlineStr">
        <is>
          <t>9</t>
        </is>
      </c>
      <c r="E99" t="inlineStr">
        <is>
          <t>14</t>
        </is>
      </c>
      <c r="F99" t="inlineStr">
        <is>
          <t>2025-10</t>
        </is>
      </c>
      <c r="G99" t="inlineStr">
        <is>
          <t>資助／按位津貼</t>
        </is>
      </c>
      <c r="I99" t="inlineStr">
        <is>
          <t>學士學位課程</t>
        </is>
      </c>
      <c r="K99" t="inlineStr">
        <is>
          <t>14123</t>
        </is>
      </c>
      <c r="L99" t="inlineStr">
        <is>
          <t>43.7</t>
        </is>
      </c>
      <c r="M99" t="inlineStr">
        <is>
          <t>32337</t>
        </is>
      </c>
      <c r="N99" t="inlineStr">
        <is>
          <t>reported</t>
        </is>
      </c>
      <c r="O99" t="inlineStr">
        <is>
          <t>百分比的分母為同一學校類別中繼續全日制升學的畢業生。</t>
        </is>
      </c>
    </row>
    <row r="100">
      <c r="A100" s="15" t="inlineStr">
        <is>
          <t>EDB-S6-2025</t>
        </is>
      </c>
      <c r="B100" t="inlineStr">
        <is>
          <t>2025 Survey on Destinations of Secondary 6 Graduates</t>
        </is>
      </c>
      <c r="C100" t="inlineStr">
        <is>
          <t>2.2</t>
        </is>
      </c>
      <c r="D100" t="inlineStr">
        <is>
          <t>9</t>
        </is>
      </c>
      <c r="E100" t="inlineStr">
        <is>
          <t>14</t>
        </is>
      </c>
      <c r="F100" t="inlineStr">
        <is>
          <t>2025-10</t>
        </is>
      </c>
      <c r="G100" t="inlineStr">
        <is>
          <t>資助／按位津貼</t>
        </is>
      </c>
      <c r="I100" t="inlineStr">
        <is>
          <t>專上課程（副學士／高級文憑）</t>
        </is>
      </c>
      <c r="K100" t="inlineStr">
        <is>
          <t>11513</t>
        </is>
      </c>
      <c r="L100" t="inlineStr">
        <is>
          <t>35.6</t>
        </is>
      </c>
      <c r="M100" t="inlineStr">
        <is>
          <t>32337</t>
        </is>
      </c>
      <c r="N100" t="inlineStr">
        <is>
          <t>reported</t>
        </is>
      </c>
      <c r="O100" t="inlineStr">
        <is>
          <t>百分比的分母為同一學校類別中繼續全日制升學的畢業生。</t>
        </is>
      </c>
    </row>
    <row r="101">
      <c r="A101" s="15" t="inlineStr">
        <is>
          <t>EDB-S6-2025</t>
        </is>
      </c>
      <c r="B101" t="inlineStr">
        <is>
          <t>2025 Survey on Destinations of Secondary 6 Graduates</t>
        </is>
      </c>
      <c r="C101" t="inlineStr">
        <is>
          <t>2.2</t>
        </is>
      </c>
      <c r="D101" t="inlineStr">
        <is>
          <t>9</t>
        </is>
      </c>
      <c r="E101" t="inlineStr">
        <is>
          <t>14</t>
        </is>
      </c>
      <c r="F101" t="inlineStr">
        <is>
          <t>2025-10</t>
        </is>
      </c>
      <c r="G101" t="inlineStr">
        <is>
          <t>資助／按位津貼</t>
        </is>
      </c>
      <c r="I101" t="inlineStr">
        <is>
          <t>總數／全日制求學者</t>
        </is>
      </c>
      <c r="K101" t="inlineStr">
        <is>
          <t>32337</t>
        </is>
      </c>
      <c r="L101" t="inlineStr">
        <is>
          <t>100.0</t>
        </is>
      </c>
      <c r="M101" t="inlineStr">
        <is>
          <t>32337</t>
        </is>
      </c>
      <c r="N101" t="inlineStr">
        <is>
          <t>reported</t>
        </is>
      </c>
      <c r="O101" t="inlineStr">
        <is>
          <t>原表總數行。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4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72" customWidth="1" min="15" max="15"/>
  </cols>
  <sheetData>
    <row r="1" ht="32" customHeight="1">
      <c r="A1" s="10" t="inlineStr">
        <is>
          <t>source_id</t>
        </is>
      </c>
      <c r="B1" s="10" t="inlineStr">
        <is>
          <t>source_document</t>
        </is>
      </c>
      <c r="C1" s="10" t="inlineStr">
        <is>
          <t>table_id</t>
        </is>
      </c>
      <c r="D1" s="10" t="inlineStr">
        <is>
          <t>printed_page</t>
        </is>
      </c>
      <c r="E1" s="10" t="inlineStr">
        <is>
          <t>pdf_page</t>
        </is>
      </c>
      <c r="F1" s="10" t="inlineStr">
        <is>
          <t>reference_period</t>
        </is>
      </c>
      <c r="G1" s="10" t="inlineStr">
        <is>
          <t>school_sector</t>
        </is>
      </c>
      <c r="H1" s="10" t="inlineStr">
        <is>
          <t>activity_status</t>
        </is>
      </c>
      <c r="I1" s="10" t="inlineStr">
        <is>
          <t>programme_type</t>
        </is>
      </c>
      <c r="J1" s="10" t="inlineStr">
        <is>
          <t>place_of_study</t>
        </is>
      </c>
      <c r="K1" s="10" t="inlineStr">
        <is>
          <t>count_reported</t>
        </is>
      </c>
      <c r="L1" s="10" t="inlineStr">
        <is>
          <t>proportion_reported</t>
        </is>
      </c>
      <c r="M1" s="10" t="inlineStr">
        <is>
          <t>denominator</t>
        </is>
      </c>
      <c r="N1" s="10" t="inlineStr">
        <is>
          <t>cell_status</t>
        </is>
      </c>
      <c r="O1" t="inlineStr">
        <is>
          <t>notes</t>
        </is>
      </c>
    </row>
    <row r="2" ht="33" customHeight="1">
      <c r="A2" s="15" t="inlineStr">
        <is>
          <t>EDB-S6-2021</t>
        </is>
      </c>
      <c r="B2" t="inlineStr">
        <is>
          <t>2021 Secondary 6 Students’ Pathway Survey</t>
        </is>
      </c>
      <c r="C2" t="inlineStr">
        <is>
          <t>2.3</t>
        </is>
      </c>
      <c r="D2" t="inlineStr">
        <is>
          <t>14</t>
        </is>
      </c>
      <c r="E2" t="inlineStr">
        <is>
          <t>19</t>
        </is>
      </c>
      <c r="F2" t="inlineStr">
        <is>
          <t>2021-10</t>
        </is>
      </c>
      <c r="I2" t="inlineStr">
        <is>
          <t>ALL</t>
        </is>
      </c>
      <c r="J2" t="inlineStr">
        <is>
          <t>中國內地</t>
        </is>
      </c>
      <c r="K2" t="inlineStr">
        <is>
          <t>1985</t>
        </is>
      </c>
      <c r="L2" t="inlineStr">
        <is>
          <t>35.2</t>
        </is>
      </c>
      <c r="M2" t="inlineStr">
        <is>
          <t>5645</t>
        </is>
      </c>
      <c r="N2" t="inlineStr">
        <is>
          <t>reported</t>
        </is>
      </c>
      <c r="O2" t="inlineStr">
        <is>
          <t>百分比分母為同一課程類別欄總數；參照期為10月。</t>
        </is>
      </c>
    </row>
    <row r="3" ht="33" customHeight="1">
      <c r="A3" s="15" t="inlineStr">
        <is>
          <t>EDB-S6-2021</t>
        </is>
      </c>
      <c r="B3" t="inlineStr">
        <is>
          <t>2021 Secondary 6 Students’ Pathway Survey</t>
        </is>
      </c>
      <c r="C3" t="inlineStr">
        <is>
          <t>2.3</t>
        </is>
      </c>
      <c r="D3" t="inlineStr">
        <is>
          <t>14</t>
        </is>
      </c>
      <c r="E3" t="inlineStr">
        <is>
          <t>19</t>
        </is>
      </c>
      <c r="F3" t="inlineStr">
        <is>
          <t>2021-10</t>
        </is>
      </c>
      <c r="I3" t="inlineStr">
        <is>
          <t>ALL</t>
        </is>
      </c>
      <c r="J3" t="inlineStr">
        <is>
          <t>其他</t>
        </is>
      </c>
      <c r="K3" t="inlineStr">
        <is>
          <t>309</t>
        </is>
      </c>
      <c r="L3" t="inlineStr">
        <is>
          <t>5.5</t>
        </is>
      </c>
      <c r="M3" t="inlineStr">
        <is>
          <t>5645</t>
        </is>
      </c>
      <c r="N3" t="inlineStr">
        <is>
          <t>reported</t>
        </is>
      </c>
      <c r="O3" t="inlineStr">
        <is>
          <t>百分比分母為同一課程類別欄總數；參照期為10月。</t>
        </is>
      </c>
    </row>
    <row r="4" ht="33" customHeight="1">
      <c r="A4" s="15" t="inlineStr">
        <is>
          <t>EDB-S6-2021</t>
        </is>
      </c>
      <c r="B4" t="inlineStr">
        <is>
          <t>2021 Secondary 6 Students’ Pathway Survey</t>
        </is>
      </c>
      <c r="C4" t="inlineStr">
        <is>
          <t>2.3</t>
        </is>
      </c>
      <c r="D4" t="inlineStr">
        <is>
          <t>14</t>
        </is>
      </c>
      <c r="E4" t="inlineStr">
        <is>
          <t>19</t>
        </is>
      </c>
      <c r="F4" t="inlineStr">
        <is>
          <t>2021-10</t>
        </is>
      </c>
      <c r="I4" t="inlineStr">
        <is>
          <t>ALL</t>
        </is>
      </c>
      <c r="J4" t="inlineStr">
        <is>
          <t>加拿大</t>
        </is>
      </c>
      <c r="K4" t="inlineStr">
        <is>
          <t>305</t>
        </is>
      </c>
      <c r="L4" t="inlineStr">
        <is>
          <t>5.4</t>
        </is>
      </c>
      <c r="M4" t="inlineStr">
        <is>
          <t>5645</t>
        </is>
      </c>
      <c r="N4" t="inlineStr">
        <is>
          <t>reported</t>
        </is>
      </c>
      <c r="O4" t="inlineStr">
        <is>
          <t>百分比分母為同一課程類別欄總數；參照期為10月。</t>
        </is>
      </c>
    </row>
    <row r="5" ht="33" customHeight="1">
      <c r="A5" s="15" t="inlineStr">
        <is>
          <t>EDB-S6-2021</t>
        </is>
      </c>
      <c r="B5" t="inlineStr">
        <is>
          <t>2021 Secondary 6 Students’ Pathway Survey</t>
        </is>
      </c>
      <c r="C5" t="inlineStr">
        <is>
          <t>2.3</t>
        </is>
      </c>
      <c r="D5" t="inlineStr">
        <is>
          <t>14</t>
        </is>
      </c>
      <c r="E5" t="inlineStr">
        <is>
          <t>19</t>
        </is>
      </c>
      <c r="F5" t="inlineStr">
        <is>
          <t>2021-10</t>
        </is>
      </c>
      <c r="I5" t="inlineStr">
        <is>
          <t>ALL</t>
        </is>
      </c>
      <c r="J5" t="inlineStr">
        <is>
          <t>台灣</t>
        </is>
      </c>
      <c r="K5" t="inlineStr">
        <is>
          <t>1252</t>
        </is>
      </c>
      <c r="L5" t="inlineStr">
        <is>
          <t>22.2</t>
        </is>
      </c>
      <c r="M5" t="inlineStr">
        <is>
          <t>5645</t>
        </is>
      </c>
      <c r="N5" t="inlineStr">
        <is>
          <t>reported</t>
        </is>
      </c>
      <c r="O5" t="inlineStr">
        <is>
          <t>百分比分母為同一課程類別欄總數；參照期為10月。</t>
        </is>
      </c>
    </row>
    <row r="6" ht="33" customHeight="1">
      <c r="A6" s="15" t="inlineStr">
        <is>
          <t>EDB-S6-2021</t>
        </is>
      </c>
      <c r="B6" t="inlineStr">
        <is>
          <t>2021 Secondary 6 Students’ Pathway Survey</t>
        </is>
      </c>
      <c r="C6" t="inlineStr">
        <is>
          <t>2.3</t>
        </is>
      </c>
      <c r="D6" t="inlineStr">
        <is>
          <t>14</t>
        </is>
      </c>
      <c r="E6" t="inlineStr">
        <is>
          <t>19</t>
        </is>
      </c>
      <c r="F6" t="inlineStr">
        <is>
          <t>2021-10</t>
        </is>
      </c>
      <c r="I6" t="inlineStr">
        <is>
          <t>ALL</t>
        </is>
      </c>
      <c r="J6" t="inlineStr">
        <is>
          <t>澳洲</t>
        </is>
      </c>
      <c r="K6" t="inlineStr">
        <is>
          <t>422</t>
        </is>
      </c>
      <c r="L6" t="inlineStr">
        <is>
          <t>7.5</t>
        </is>
      </c>
      <c r="M6" t="inlineStr">
        <is>
          <t>5645</t>
        </is>
      </c>
      <c r="N6" t="inlineStr">
        <is>
          <t>reported</t>
        </is>
      </c>
      <c r="O6" t="inlineStr">
        <is>
          <t>百分比分母為同一課程類別欄總數；參照期為10月。</t>
        </is>
      </c>
    </row>
    <row r="7" ht="33" customHeight="1">
      <c r="A7" s="15" t="inlineStr">
        <is>
          <t>EDB-S6-2021</t>
        </is>
      </c>
      <c r="B7" t="inlineStr">
        <is>
          <t>2021 Secondary 6 Students’ Pathway Survey</t>
        </is>
      </c>
      <c r="C7" t="inlineStr">
        <is>
          <t>2.3</t>
        </is>
      </c>
      <c r="D7" t="inlineStr">
        <is>
          <t>14</t>
        </is>
      </c>
      <c r="E7" t="inlineStr">
        <is>
          <t>19</t>
        </is>
      </c>
      <c r="F7" t="inlineStr">
        <is>
          <t>2021-10</t>
        </is>
      </c>
      <c r="I7" t="inlineStr">
        <is>
          <t>ALL</t>
        </is>
      </c>
      <c r="J7" t="inlineStr">
        <is>
          <t>總數</t>
        </is>
      </c>
      <c r="K7" t="inlineStr">
        <is>
          <t>5645</t>
        </is>
      </c>
      <c r="L7" t="inlineStr">
        <is>
          <t>100.0</t>
        </is>
      </c>
      <c r="M7" t="inlineStr">
        <is>
          <t>5645</t>
        </is>
      </c>
      <c r="N7" t="inlineStr">
        <is>
          <t>reported</t>
        </is>
      </c>
      <c r="O7" t="inlineStr">
        <is>
          <t>EDB原表總數行；按課程類別列合計。</t>
        </is>
      </c>
    </row>
    <row r="8" ht="33" customHeight="1">
      <c r="A8" s="15" t="inlineStr">
        <is>
          <t>EDB-S6-2021</t>
        </is>
      </c>
      <c r="B8" t="inlineStr">
        <is>
          <t>2021 Secondary 6 Students’ Pathway Survey</t>
        </is>
      </c>
      <c r="C8" t="inlineStr">
        <is>
          <t>2.3</t>
        </is>
      </c>
      <c r="D8" t="inlineStr">
        <is>
          <t>14</t>
        </is>
      </c>
      <c r="E8" t="inlineStr">
        <is>
          <t>19</t>
        </is>
      </c>
      <c r="F8" t="inlineStr">
        <is>
          <t>2021-10</t>
        </is>
      </c>
      <c r="I8" t="inlineStr">
        <is>
          <t>ALL</t>
        </is>
      </c>
      <c r="J8" t="inlineStr">
        <is>
          <t>美國</t>
        </is>
      </c>
      <c r="K8" t="inlineStr">
        <is>
          <t>139</t>
        </is>
      </c>
      <c r="L8" t="inlineStr">
        <is>
          <t>2.5</t>
        </is>
      </c>
      <c r="M8" t="inlineStr">
        <is>
          <t>5645</t>
        </is>
      </c>
      <c r="N8" t="inlineStr">
        <is>
          <t>reported</t>
        </is>
      </c>
      <c r="O8" t="inlineStr">
        <is>
          <t>百分比分母為同一課程類別欄總數；參照期為10月。</t>
        </is>
      </c>
    </row>
    <row r="9" ht="33" customHeight="1">
      <c r="A9" s="15" t="inlineStr">
        <is>
          <t>EDB-S6-2021</t>
        </is>
      </c>
      <c r="B9" t="inlineStr">
        <is>
          <t>2021 Secondary 6 Students’ Pathway Survey</t>
        </is>
      </c>
      <c r="C9" t="inlineStr">
        <is>
          <t>2.3</t>
        </is>
      </c>
      <c r="D9" t="inlineStr">
        <is>
          <t>14</t>
        </is>
      </c>
      <c r="E9" t="inlineStr">
        <is>
          <t>19</t>
        </is>
      </c>
      <c r="F9" t="inlineStr">
        <is>
          <t>2021-10</t>
        </is>
      </c>
      <c r="I9" t="inlineStr">
        <is>
          <t>ALL</t>
        </is>
      </c>
      <c r="J9" t="inlineStr">
        <is>
          <t>英國</t>
        </is>
      </c>
      <c r="K9" t="inlineStr">
        <is>
          <t>1233</t>
        </is>
      </c>
      <c r="L9" t="inlineStr">
        <is>
          <t>21.8</t>
        </is>
      </c>
      <c r="M9" t="inlineStr">
        <is>
          <t>5645</t>
        </is>
      </c>
      <c r="N9" t="inlineStr">
        <is>
          <t>reported</t>
        </is>
      </c>
      <c r="O9" t="inlineStr">
        <is>
          <t>百分比分母為同一課程類別欄總數；參照期為10月。</t>
        </is>
      </c>
    </row>
    <row r="10" ht="33" customHeight="1">
      <c r="A10" s="15" t="inlineStr">
        <is>
          <t>EDB-S6-2021</t>
        </is>
      </c>
      <c r="B10" t="inlineStr">
        <is>
          <t>2021 Secondary 6 Students’ Pathway Survey</t>
        </is>
      </c>
      <c r="C10" t="inlineStr">
        <is>
          <t>2.3</t>
        </is>
      </c>
      <c r="D10" t="inlineStr">
        <is>
          <t>14</t>
        </is>
      </c>
      <c r="E10" t="inlineStr">
        <is>
          <t>19</t>
        </is>
      </c>
      <c r="F10" t="inlineStr">
        <is>
          <t>2021-10</t>
        </is>
      </c>
      <c r="I10" t="inlineStr">
        <is>
          <t>BACHELOR</t>
        </is>
      </c>
      <c r="J10" t="inlineStr">
        <is>
          <t>中國內地</t>
        </is>
      </c>
      <c r="K10" t="inlineStr">
        <is>
          <t>1678</t>
        </is>
      </c>
      <c r="L10" t="inlineStr">
        <is>
          <t>34.9</t>
        </is>
      </c>
      <c r="M10" t="inlineStr">
        <is>
          <t>4807</t>
        </is>
      </c>
      <c r="N10" t="inlineStr">
        <is>
          <t>reported</t>
        </is>
      </c>
      <c r="O10" t="inlineStr">
        <is>
          <t>百分比分母為同一課程類別欄總數；參照期為10月。</t>
        </is>
      </c>
    </row>
    <row r="11" ht="33" customHeight="1">
      <c r="A11" s="15" t="inlineStr">
        <is>
          <t>EDB-S6-2021</t>
        </is>
      </c>
      <c r="B11" t="inlineStr">
        <is>
          <t>2021 Secondary 6 Students’ Pathway Survey</t>
        </is>
      </c>
      <c r="C11" t="inlineStr">
        <is>
          <t>2.3</t>
        </is>
      </c>
      <c r="D11" t="inlineStr">
        <is>
          <t>14</t>
        </is>
      </c>
      <c r="E11" t="inlineStr">
        <is>
          <t>19</t>
        </is>
      </c>
      <c r="F11" t="inlineStr">
        <is>
          <t>2021-10</t>
        </is>
      </c>
      <c r="I11" t="inlineStr">
        <is>
          <t>BACHELOR</t>
        </is>
      </c>
      <c r="J11" t="inlineStr">
        <is>
          <t>其他</t>
        </is>
      </c>
      <c r="K11" t="inlineStr">
        <is>
          <t>219</t>
        </is>
      </c>
      <c r="L11" t="inlineStr">
        <is>
          <t>4.6</t>
        </is>
      </c>
      <c r="M11" t="inlineStr">
        <is>
          <t>4807</t>
        </is>
      </c>
      <c r="N11" t="inlineStr">
        <is>
          <t>reported</t>
        </is>
      </c>
      <c r="O11" t="inlineStr">
        <is>
          <t>百分比分母為同一課程類別欄總數；參照期為10月。</t>
        </is>
      </c>
    </row>
    <row r="12" ht="33" customHeight="1">
      <c r="A12" s="15" t="inlineStr">
        <is>
          <t>EDB-S6-2021</t>
        </is>
      </c>
      <c r="B12" t="inlineStr">
        <is>
          <t>2021 Secondary 6 Students’ Pathway Survey</t>
        </is>
      </c>
      <c r="C12" t="inlineStr">
        <is>
          <t>2.3</t>
        </is>
      </c>
      <c r="D12" t="inlineStr">
        <is>
          <t>14</t>
        </is>
      </c>
      <c r="E12" t="inlineStr">
        <is>
          <t>19</t>
        </is>
      </c>
      <c r="F12" t="inlineStr">
        <is>
          <t>2021-10</t>
        </is>
      </c>
      <c r="I12" t="inlineStr">
        <is>
          <t>BACHELOR</t>
        </is>
      </c>
      <c r="J12" t="inlineStr">
        <is>
          <t>加拿大</t>
        </is>
      </c>
      <c r="K12" t="inlineStr">
        <is>
          <t>227</t>
        </is>
      </c>
      <c r="L12" t="inlineStr">
        <is>
          <t>4.7</t>
        </is>
      </c>
      <c r="M12" t="inlineStr">
        <is>
          <t>4807</t>
        </is>
      </c>
      <c r="N12" t="inlineStr">
        <is>
          <t>reported</t>
        </is>
      </c>
      <c r="O12" t="inlineStr">
        <is>
          <t>百分比分母為同一課程類別欄總數；參照期為10月。</t>
        </is>
      </c>
    </row>
    <row r="13" ht="33" customHeight="1">
      <c r="A13" s="15" t="inlineStr">
        <is>
          <t>EDB-S6-2021</t>
        </is>
      </c>
      <c r="B13" t="inlineStr">
        <is>
          <t>2021 Secondary 6 Students’ Pathway Survey</t>
        </is>
      </c>
      <c r="C13" t="inlineStr">
        <is>
          <t>2.3</t>
        </is>
      </c>
      <c r="D13" t="inlineStr">
        <is>
          <t>14</t>
        </is>
      </c>
      <c r="E13" t="inlineStr">
        <is>
          <t>19</t>
        </is>
      </c>
      <c r="F13" t="inlineStr">
        <is>
          <t>2021-10</t>
        </is>
      </c>
      <c r="I13" t="inlineStr">
        <is>
          <t>BACHELOR</t>
        </is>
      </c>
      <c r="J13" t="inlineStr">
        <is>
          <t>台灣</t>
        </is>
      </c>
      <c r="K13" t="inlineStr">
        <is>
          <t>1218</t>
        </is>
      </c>
      <c r="L13" t="inlineStr">
        <is>
          <t>25.3</t>
        </is>
      </c>
      <c r="M13" t="inlineStr">
        <is>
          <t>4807</t>
        </is>
      </c>
      <c r="N13" t="inlineStr">
        <is>
          <t>reported</t>
        </is>
      </c>
      <c r="O13" t="inlineStr">
        <is>
          <t>百分比分母為同一課程類別欄總數；參照期為10月。</t>
        </is>
      </c>
    </row>
    <row r="14" ht="33" customHeight="1">
      <c r="A14" s="15" t="inlineStr">
        <is>
          <t>EDB-S6-2021</t>
        </is>
      </c>
      <c r="B14" t="inlineStr">
        <is>
          <t>2021 Secondary 6 Students’ Pathway Survey</t>
        </is>
      </c>
      <c r="C14" t="inlineStr">
        <is>
          <t>2.3</t>
        </is>
      </c>
      <c r="D14" t="inlineStr">
        <is>
          <t>14</t>
        </is>
      </c>
      <c r="E14" t="inlineStr">
        <is>
          <t>19</t>
        </is>
      </c>
      <c r="F14" t="inlineStr">
        <is>
          <t>2021-10</t>
        </is>
      </c>
      <c r="I14" t="inlineStr">
        <is>
          <t>BACHELOR</t>
        </is>
      </c>
      <c r="J14" t="inlineStr">
        <is>
          <t>澳洲</t>
        </is>
      </c>
      <c r="K14" t="inlineStr">
        <is>
          <t>322</t>
        </is>
      </c>
      <c r="L14" t="inlineStr">
        <is>
          <t>6.7</t>
        </is>
      </c>
      <c r="M14" t="inlineStr">
        <is>
          <t>4807</t>
        </is>
      </c>
      <c r="N14" t="inlineStr">
        <is>
          <t>reported</t>
        </is>
      </c>
      <c r="O14" t="inlineStr">
        <is>
          <t>百分比分母為同一課程類別欄總數；參照期為10月。</t>
        </is>
      </c>
    </row>
    <row r="15" ht="33" customHeight="1">
      <c r="A15" s="15" t="inlineStr">
        <is>
          <t>EDB-S6-2021</t>
        </is>
      </c>
      <c r="B15" t="inlineStr">
        <is>
          <t>2021 Secondary 6 Students’ Pathway Survey</t>
        </is>
      </c>
      <c r="C15" t="inlineStr">
        <is>
          <t>2.3</t>
        </is>
      </c>
      <c r="D15" t="inlineStr">
        <is>
          <t>14</t>
        </is>
      </c>
      <c r="E15" t="inlineStr">
        <is>
          <t>19</t>
        </is>
      </c>
      <c r="F15" t="inlineStr">
        <is>
          <t>2021-10</t>
        </is>
      </c>
      <c r="I15" t="inlineStr">
        <is>
          <t>BACHELOR</t>
        </is>
      </c>
      <c r="J15" t="inlineStr">
        <is>
          <t>總數</t>
        </is>
      </c>
      <c r="K15" t="inlineStr">
        <is>
          <t>4807</t>
        </is>
      </c>
      <c r="L15" t="inlineStr">
        <is>
          <t>100.0</t>
        </is>
      </c>
      <c r="M15" t="inlineStr">
        <is>
          <t>4807</t>
        </is>
      </c>
      <c r="N15" t="inlineStr">
        <is>
          <t>reported</t>
        </is>
      </c>
      <c r="O15" t="inlineStr">
        <is>
          <t>EDB原表總數行；按課程類別列合計。</t>
        </is>
      </c>
    </row>
    <row r="16" ht="33" customHeight="1">
      <c r="A16" s="15" t="inlineStr">
        <is>
          <t>EDB-S6-2021</t>
        </is>
      </c>
      <c r="B16" t="inlineStr">
        <is>
          <t>2021 Secondary 6 Students’ Pathway Survey</t>
        </is>
      </c>
      <c r="C16" t="inlineStr">
        <is>
          <t>2.3</t>
        </is>
      </c>
      <c r="D16" t="inlineStr">
        <is>
          <t>14</t>
        </is>
      </c>
      <c r="E16" t="inlineStr">
        <is>
          <t>19</t>
        </is>
      </c>
      <c r="F16" t="inlineStr">
        <is>
          <t>2021-10</t>
        </is>
      </c>
      <c r="I16" t="inlineStr">
        <is>
          <t>BACHELOR</t>
        </is>
      </c>
      <c r="J16" t="inlineStr">
        <is>
          <t>美國</t>
        </is>
      </c>
      <c r="K16" t="inlineStr">
        <is>
          <t>107</t>
        </is>
      </c>
      <c r="L16" t="inlineStr">
        <is>
          <t>2.2</t>
        </is>
      </c>
      <c r="M16" t="inlineStr">
        <is>
          <t>4807</t>
        </is>
      </c>
      <c r="N16" t="inlineStr">
        <is>
          <t>reported</t>
        </is>
      </c>
      <c r="O16" t="inlineStr">
        <is>
          <t>百分比分母為同一課程類別欄總數；參照期為10月。</t>
        </is>
      </c>
    </row>
    <row r="17" ht="33" customHeight="1">
      <c r="A17" s="15" t="inlineStr">
        <is>
          <t>EDB-S6-2021</t>
        </is>
      </c>
      <c r="B17" t="inlineStr">
        <is>
          <t>2021 Secondary 6 Students’ Pathway Survey</t>
        </is>
      </c>
      <c r="C17" t="inlineStr">
        <is>
          <t>2.3</t>
        </is>
      </c>
      <c r="D17" t="inlineStr">
        <is>
          <t>14</t>
        </is>
      </c>
      <c r="E17" t="inlineStr">
        <is>
          <t>19</t>
        </is>
      </c>
      <c r="F17" t="inlineStr">
        <is>
          <t>2021-10</t>
        </is>
      </c>
      <c r="I17" t="inlineStr">
        <is>
          <t>BACHELOR</t>
        </is>
      </c>
      <c r="J17" t="inlineStr">
        <is>
          <t>英國</t>
        </is>
      </c>
      <c r="K17" t="inlineStr">
        <is>
          <t>1036</t>
        </is>
      </c>
      <c r="L17" t="inlineStr">
        <is>
          <t>21.6</t>
        </is>
      </c>
      <c r="M17" t="inlineStr">
        <is>
          <t>4807</t>
        </is>
      </c>
      <c r="N17" t="inlineStr">
        <is>
          <t>reported</t>
        </is>
      </c>
      <c r="O17" t="inlineStr">
        <is>
          <t>百分比分母為同一課程類別欄總數；參照期為10月。</t>
        </is>
      </c>
    </row>
    <row r="18" ht="33" customHeight="1">
      <c r="A18" s="15" t="inlineStr">
        <is>
          <t>EDB-S6-2021</t>
        </is>
      </c>
      <c r="B18" t="inlineStr">
        <is>
          <t>2021 Secondary 6 Students’ Pathway Survey</t>
        </is>
      </c>
      <c r="C18" t="inlineStr">
        <is>
          <t>2.3</t>
        </is>
      </c>
      <c r="D18" t="inlineStr">
        <is>
          <t>14</t>
        </is>
      </c>
      <c r="E18" t="inlineStr">
        <is>
          <t>19</t>
        </is>
      </c>
      <c r="F18" t="inlineStr">
        <is>
          <t>2021-10</t>
        </is>
      </c>
      <c r="I18" t="inlineStr">
        <is>
          <t>OTHER_FULL_TIME</t>
        </is>
      </c>
      <c r="J18" t="inlineStr">
        <is>
          <t>中國內地</t>
        </is>
      </c>
      <c r="K18" t="inlineStr">
        <is>
          <t>120</t>
        </is>
      </c>
      <c r="L18" t="inlineStr">
        <is>
          <t>42.9</t>
        </is>
      </c>
      <c r="M18" t="inlineStr">
        <is>
          <t>280</t>
        </is>
      </c>
      <c r="N18" t="inlineStr">
        <is>
          <t>reported</t>
        </is>
      </c>
      <c r="O18" t="inlineStr">
        <is>
          <t>百分比分母為同一課程類別欄總數；參照期為10月。</t>
        </is>
      </c>
    </row>
    <row r="19" ht="33" customHeight="1">
      <c r="A19" s="15" t="inlineStr">
        <is>
          <t>EDB-S6-2021</t>
        </is>
      </c>
      <c r="B19" t="inlineStr">
        <is>
          <t>2021 Secondary 6 Students’ Pathway Survey</t>
        </is>
      </c>
      <c r="C19" t="inlineStr">
        <is>
          <t>2.3</t>
        </is>
      </c>
      <c r="D19" t="inlineStr">
        <is>
          <t>14</t>
        </is>
      </c>
      <c r="E19" t="inlineStr">
        <is>
          <t>19</t>
        </is>
      </c>
      <c r="F19" t="inlineStr">
        <is>
          <t>2021-10</t>
        </is>
      </c>
      <c r="I19" t="inlineStr">
        <is>
          <t>OTHER_FULL_TIME</t>
        </is>
      </c>
      <c r="J19" t="inlineStr">
        <is>
          <t>其他</t>
        </is>
      </c>
      <c r="K19" t="inlineStr">
        <is>
          <t>54</t>
        </is>
      </c>
      <c r="L19" t="inlineStr">
        <is>
          <t>19.3</t>
        </is>
      </c>
      <c r="M19" t="inlineStr">
        <is>
          <t>280</t>
        </is>
      </c>
      <c r="N19" t="inlineStr">
        <is>
          <t>reported</t>
        </is>
      </c>
      <c r="O19" t="inlineStr">
        <is>
          <t>百分比分母為同一課程類別欄總數；參照期為10月。</t>
        </is>
      </c>
    </row>
    <row r="20" ht="33" customHeight="1">
      <c r="A20" s="15" t="inlineStr">
        <is>
          <t>EDB-S6-2021</t>
        </is>
      </c>
      <c r="B20" t="inlineStr">
        <is>
          <t>2021 Secondary 6 Students’ Pathway Survey</t>
        </is>
      </c>
      <c r="C20" t="inlineStr">
        <is>
          <t>2.3</t>
        </is>
      </c>
      <c r="D20" t="inlineStr">
        <is>
          <t>14</t>
        </is>
      </c>
      <c r="E20" t="inlineStr">
        <is>
          <t>19</t>
        </is>
      </c>
      <c r="F20" t="inlineStr">
        <is>
          <t>2021-10</t>
        </is>
      </c>
      <c r="I20" t="inlineStr">
        <is>
          <t>OTHER_FULL_TIME</t>
        </is>
      </c>
      <c r="J20" t="inlineStr">
        <is>
          <t>加拿大</t>
        </is>
      </c>
      <c r="K20" t="inlineStr">
        <is>
          <t>21</t>
        </is>
      </c>
      <c r="L20" t="inlineStr">
        <is>
          <t>7.5</t>
        </is>
      </c>
      <c r="M20" t="inlineStr">
        <is>
          <t>280</t>
        </is>
      </c>
      <c r="N20" t="inlineStr">
        <is>
          <t>reported</t>
        </is>
      </c>
      <c r="O20" t="inlineStr">
        <is>
          <t>百分比分母為同一課程類別欄總數；參照期為10月。</t>
        </is>
      </c>
    </row>
    <row r="21" ht="33" customHeight="1">
      <c r="A21" s="15" t="inlineStr">
        <is>
          <t>EDB-S6-2021</t>
        </is>
      </c>
      <c r="B21" t="inlineStr">
        <is>
          <t>2021 Secondary 6 Students’ Pathway Survey</t>
        </is>
      </c>
      <c r="C21" t="inlineStr">
        <is>
          <t>2.3</t>
        </is>
      </c>
      <c r="D21" t="inlineStr">
        <is>
          <t>14</t>
        </is>
      </c>
      <c r="E21" t="inlineStr">
        <is>
          <t>19</t>
        </is>
      </c>
      <c r="F21" t="inlineStr">
        <is>
          <t>2021-10</t>
        </is>
      </c>
      <c r="I21" t="inlineStr">
        <is>
          <t>OTHER_FULL_TIME</t>
        </is>
      </c>
      <c r="J21" t="inlineStr">
        <is>
          <t>台灣</t>
        </is>
      </c>
      <c r="K21" t="inlineStr">
        <is>
          <t>6</t>
        </is>
      </c>
      <c r="L21" t="inlineStr">
        <is>
          <t>2.1</t>
        </is>
      </c>
      <c r="M21" t="inlineStr">
        <is>
          <t>280</t>
        </is>
      </c>
      <c r="N21" t="inlineStr">
        <is>
          <t>reported</t>
        </is>
      </c>
      <c r="O21" t="inlineStr">
        <is>
          <t>百分比分母為同一課程類別欄總數；參照期為10月。</t>
        </is>
      </c>
    </row>
    <row r="22" ht="33" customHeight="1">
      <c r="A22" s="15" t="inlineStr">
        <is>
          <t>EDB-S6-2021</t>
        </is>
      </c>
      <c r="B22" t="inlineStr">
        <is>
          <t>2021 Secondary 6 Students’ Pathway Survey</t>
        </is>
      </c>
      <c r="C22" t="inlineStr">
        <is>
          <t>2.3</t>
        </is>
      </c>
      <c r="D22" t="inlineStr">
        <is>
          <t>14</t>
        </is>
      </c>
      <c r="E22" t="inlineStr">
        <is>
          <t>19</t>
        </is>
      </c>
      <c r="F22" t="inlineStr">
        <is>
          <t>2021-10</t>
        </is>
      </c>
      <c r="I22" t="inlineStr">
        <is>
          <t>OTHER_FULL_TIME</t>
        </is>
      </c>
      <c r="J22" t="inlineStr">
        <is>
          <t>澳洲</t>
        </is>
      </c>
      <c r="K22" t="inlineStr">
        <is>
          <t>19</t>
        </is>
      </c>
      <c r="L22" t="inlineStr">
        <is>
          <t>6.8</t>
        </is>
      </c>
      <c r="M22" t="inlineStr">
        <is>
          <t>280</t>
        </is>
      </c>
      <c r="N22" t="inlineStr">
        <is>
          <t>reported</t>
        </is>
      </c>
      <c r="O22" t="inlineStr">
        <is>
          <t>百分比分母為同一課程類別欄總數；參照期為10月。</t>
        </is>
      </c>
    </row>
    <row r="23" ht="33" customHeight="1">
      <c r="A23" s="15" t="inlineStr">
        <is>
          <t>EDB-S6-2021</t>
        </is>
      </c>
      <c r="B23" t="inlineStr">
        <is>
          <t>2021 Secondary 6 Students’ Pathway Survey</t>
        </is>
      </c>
      <c r="C23" t="inlineStr">
        <is>
          <t>2.3</t>
        </is>
      </c>
      <c r="D23" t="inlineStr">
        <is>
          <t>14</t>
        </is>
      </c>
      <c r="E23" t="inlineStr">
        <is>
          <t>19</t>
        </is>
      </c>
      <c r="F23" t="inlineStr">
        <is>
          <t>2021-10</t>
        </is>
      </c>
      <c r="I23" t="inlineStr">
        <is>
          <t>OTHER_FULL_TIME</t>
        </is>
      </c>
      <c r="J23" t="inlineStr">
        <is>
          <t>總數</t>
        </is>
      </c>
      <c r="K23" t="inlineStr">
        <is>
          <t>280</t>
        </is>
      </c>
      <c r="L23" t="inlineStr">
        <is>
          <t>100.0</t>
        </is>
      </c>
      <c r="M23" t="inlineStr">
        <is>
          <t>280</t>
        </is>
      </c>
      <c r="N23" t="inlineStr">
        <is>
          <t>reported</t>
        </is>
      </c>
      <c r="O23" t="inlineStr">
        <is>
          <t>EDB原表總數行；按課程類別列合計。</t>
        </is>
      </c>
    </row>
    <row r="24" ht="33" customHeight="1">
      <c r="A24" s="15" t="inlineStr">
        <is>
          <t>EDB-S6-2021</t>
        </is>
      </c>
      <c r="B24" t="inlineStr">
        <is>
          <t>2021 Secondary 6 Students’ Pathway Survey</t>
        </is>
      </c>
      <c r="C24" t="inlineStr">
        <is>
          <t>2.3</t>
        </is>
      </c>
      <c r="D24" t="inlineStr">
        <is>
          <t>14</t>
        </is>
      </c>
      <c r="E24" t="inlineStr">
        <is>
          <t>19</t>
        </is>
      </c>
      <c r="F24" t="inlineStr">
        <is>
          <t>2021-10</t>
        </is>
      </c>
      <c r="I24" t="inlineStr">
        <is>
          <t>OTHER_FULL_TIME</t>
        </is>
      </c>
      <c r="J24" t="inlineStr">
        <is>
          <t>美國</t>
        </is>
      </c>
      <c r="K24" t="inlineStr">
        <is>
          <t>9</t>
        </is>
      </c>
      <c r="L24" t="inlineStr">
        <is>
          <t>3.2</t>
        </is>
      </c>
      <c r="M24" t="inlineStr">
        <is>
          <t>280</t>
        </is>
      </c>
      <c r="N24" t="inlineStr">
        <is>
          <t>reported</t>
        </is>
      </c>
      <c r="O24" t="inlineStr">
        <is>
          <t>百分比分母為同一課程類別欄總數；參照期為10月。</t>
        </is>
      </c>
    </row>
    <row r="25" ht="33" customHeight="1">
      <c r="A25" s="15" t="inlineStr">
        <is>
          <t>EDB-S6-2021</t>
        </is>
      </c>
      <c r="B25" t="inlineStr">
        <is>
          <t>2021 Secondary 6 Students’ Pathway Survey</t>
        </is>
      </c>
      <c r="C25" t="inlineStr">
        <is>
          <t>2.3</t>
        </is>
      </c>
      <c r="D25" t="inlineStr">
        <is>
          <t>14</t>
        </is>
      </c>
      <c r="E25" t="inlineStr">
        <is>
          <t>19</t>
        </is>
      </c>
      <c r="F25" t="inlineStr">
        <is>
          <t>2021-10</t>
        </is>
      </c>
      <c r="I25" t="inlineStr">
        <is>
          <t>OTHER_FULL_TIME</t>
        </is>
      </c>
      <c r="J25" t="inlineStr">
        <is>
          <t>英國</t>
        </is>
      </c>
      <c r="K25" t="inlineStr">
        <is>
          <t>51</t>
        </is>
      </c>
      <c r="L25" t="inlineStr">
        <is>
          <t>18.2</t>
        </is>
      </c>
      <c r="M25" t="inlineStr">
        <is>
          <t>280</t>
        </is>
      </c>
      <c r="N25" t="inlineStr">
        <is>
          <t>reported</t>
        </is>
      </c>
      <c r="O25" t="inlineStr">
        <is>
          <t>百分比分母為同一課程類別欄總數；參照期為10月。</t>
        </is>
      </c>
    </row>
    <row r="26" ht="33" customHeight="1">
      <c r="A26" s="15" t="inlineStr">
        <is>
          <t>EDB-S6-2021</t>
        </is>
      </c>
      <c r="B26" t="inlineStr">
        <is>
          <t>2021 Secondary 6 Students’ Pathway Survey</t>
        </is>
      </c>
      <c r="C26" t="inlineStr">
        <is>
          <t>2.3</t>
        </is>
      </c>
      <c r="D26" t="inlineStr">
        <is>
          <t>14</t>
        </is>
      </c>
      <c r="E26" t="inlineStr">
        <is>
          <t>19</t>
        </is>
      </c>
      <c r="F26" t="inlineStr">
        <is>
          <t>2021-10</t>
        </is>
      </c>
      <c r="I26" t="inlineStr">
        <is>
          <t>POSTSECONDARY</t>
        </is>
      </c>
      <c r="J26" t="inlineStr">
        <is>
          <t>中國內地</t>
        </is>
      </c>
      <c r="K26" t="inlineStr">
        <is>
          <t>187</t>
        </is>
      </c>
      <c r="L26" t="inlineStr">
        <is>
          <t>33.5</t>
        </is>
      </c>
      <c r="M26" t="inlineStr">
        <is>
          <t>558</t>
        </is>
      </c>
      <c r="N26" t="inlineStr">
        <is>
          <t>reported</t>
        </is>
      </c>
      <c r="O26" t="inlineStr">
        <is>
          <t>百分比分母為同一課程類別欄總數；參照期為10月。</t>
        </is>
      </c>
    </row>
    <row r="27" ht="33" customHeight="1">
      <c r="A27" s="15" t="inlineStr">
        <is>
          <t>EDB-S6-2021</t>
        </is>
      </c>
      <c r="B27" t="inlineStr">
        <is>
          <t>2021 Secondary 6 Students’ Pathway Survey</t>
        </is>
      </c>
      <c r="C27" t="inlineStr">
        <is>
          <t>2.3</t>
        </is>
      </c>
      <c r="D27" t="inlineStr">
        <is>
          <t>14</t>
        </is>
      </c>
      <c r="E27" t="inlineStr">
        <is>
          <t>19</t>
        </is>
      </c>
      <c r="F27" t="inlineStr">
        <is>
          <t>2021-10</t>
        </is>
      </c>
      <c r="I27" t="inlineStr">
        <is>
          <t>POSTSECONDARY</t>
        </is>
      </c>
      <c r="J27" t="inlineStr">
        <is>
          <t>其他</t>
        </is>
      </c>
      <c r="K27" t="inlineStr">
        <is>
          <t>36</t>
        </is>
      </c>
      <c r="L27" t="inlineStr">
        <is>
          <t>6.5</t>
        </is>
      </c>
      <c r="M27" t="inlineStr">
        <is>
          <t>558</t>
        </is>
      </c>
      <c r="N27" t="inlineStr">
        <is>
          <t>reported</t>
        </is>
      </c>
      <c r="O27" t="inlineStr">
        <is>
          <t>百分比分母為同一課程類別欄總數；參照期為10月。</t>
        </is>
      </c>
    </row>
    <row r="28" ht="33" customHeight="1">
      <c r="A28" s="15" t="inlineStr">
        <is>
          <t>EDB-S6-2021</t>
        </is>
      </c>
      <c r="B28" t="inlineStr">
        <is>
          <t>2021 Secondary 6 Students’ Pathway Survey</t>
        </is>
      </c>
      <c r="C28" t="inlineStr">
        <is>
          <t>2.3</t>
        </is>
      </c>
      <c r="D28" t="inlineStr">
        <is>
          <t>14</t>
        </is>
      </c>
      <c r="E28" t="inlineStr">
        <is>
          <t>19</t>
        </is>
      </c>
      <c r="F28" t="inlineStr">
        <is>
          <t>2021-10</t>
        </is>
      </c>
      <c r="I28" t="inlineStr">
        <is>
          <t>POSTSECONDARY</t>
        </is>
      </c>
      <c r="J28" t="inlineStr">
        <is>
          <t>加拿大</t>
        </is>
      </c>
      <c r="K28" t="inlineStr">
        <is>
          <t>57</t>
        </is>
      </c>
      <c r="L28" t="inlineStr">
        <is>
          <t>10.2</t>
        </is>
      </c>
      <c r="M28" t="inlineStr">
        <is>
          <t>558</t>
        </is>
      </c>
      <c r="N28" t="inlineStr">
        <is>
          <t>reported</t>
        </is>
      </c>
      <c r="O28" t="inlineStr">
        <is>
          <t>百分比分母為同一課程類別欄總數；參照期為10月。</t>
        </is>
      </c>
    </row>
    <row r="29" ht="33" customHeight="1">
      <c r="A29" s="15" t="inlineStr">
        <is>
          <t>EDB-S6-2021</t>
        </is>
      </c>
      <c r="B29" t="inlineStr">
        <is>
          <t>2021 Secondary 6 Students’ Pathway Survey</t>
        </is>
      </c>
      <c r="C29" t="inlineStr">
        <is>
          <t>2.3</t>
        </is>
      </c>
      <c r="D29" t="inlineStr">
        <is>
          <t>14</t>
        </is>
      </c>
      <c r="E29" t="inlineStr">
        <is>
          <t>19</t>
        </is>
      </c>
      <c r="F29" t="inlineStr">
        <is>
          <t>2021-10</t>
        </is>
      </c>
      <c r="I29" t="inlineStr">
        <is>
          <t>POSTSECONDARY</t>
        </is>
      </c>
      <c r="J29" t="inlineStr">
        <is>
          <t>台灣</t>
        </is>
      </c>
      <c r="K29" t="inlineStr">
        <is>
          <t>28</t>
        </is>
      </c>
      <c r="L29" t="inlineStr">
        <is>
          <t>5.0</t>
        </is>
      </c>
      <c r="M29" t="inlineStr">
        <is>
          <t>558</t>
        </is>
      </c>
      <c r="N29" t="inlineStr">
        <is>
          <t>reported</t>
        </is>
      </c>
      <c r="O29" t="inlineStr">
        <is>
          <t>百分比分母為同一課程類別欄總數；參照期為10月。</t>
        </is>
      </c>
    </row>
    <row r="30" ht="33" customHeight="1">
      <c r="A30" s="15" t="inlineStr">
        <is>
          <t>EDB-S6-2021</t>
        </is>
      </c>
      <c r="B30" t="inlineStr">
        <is>
          <t>2021 Secondary 6 Students’ Pathway Survey</t>
        </is>
      </c>
      <c r="C30" t="inlineStr">
        <is>
          <t>2.3</t>
        </is>
      </c>
      <c r="D30" t="inlineStr">
        <is>
          <t>14</t>
        </is>
      </c>
      <c r="E30" t="inlineStr">
        <is>
          <t>19</t>
        </is>
      </c>
      <c r="F30" t="inlineStr">
        <is>
          <t>2021-10</t>
        </is>
      </c>
      <c r="I30" t="inlineStr">
        <is>
          <t>POSTSECONDARY</t>
        </is>
      </c>
      <c r="J30" t="inlineStr">
        <is>
          <t>澳洲</t>
        </is>
      </c>
      <c r="K30" t="inlineStr">
        <is>
          <t>81</t>
        </is>
      </c>
      <c r="L30" t="inlineStr">
        <is>
          <t>14.5</t>
        </is>
      </c>
      <c r="M30" t="inlineStr">
        <is>
          <t>558</t>
        </is>
      </c>
      <c r="N30" t="inlineStr">
        <is>
          <t>reported</t>
        </is>
      </c>
      <c r="O30" t="inlineStr">
        <is>
          <t>百分比分母為同一課程類別欄總數；參照期為10月。</t>
        </is>
      </c>
    </row>
    <row r="31" ht="33" customHeight="1">
      <c r="A31" s="15" t="inlineStr">
        <is>
          <t>EDB-S6-2021</t>
        </is>
      </c>
      <c r="B31" t="inlineStr">
        <is>
          <t>2021 Secondary 6 Students’ Pathway Survey</t>
        </is>
      </c>
      <c r="C31" t="inlineStr">
        <is>
          <t>2.3</t>
        </is>
      </c>
      <c r="D31" t="inlineStr">
        <is>
          <t>14</t>
        </is>
      </c>
      <c r="E31" t="inlineStr">
        <is>
          <t>19</t>
        </is>
      </c>
      <c r="F31" t="inlineStr">
        <is>
          <t>2021-10</t>
        </is>
      </c>
      <c r="I31" t="inlineStr">
        <is>
          <t>POSTSECONDARY</t>
        </is>
      </c>
      <c r="J31" t="inlineStr">
        <is>
          <t>總數</t>
        </is>
      </c>
      <c r="K31" t="inlineStr">
        <is>
          <t>558</t>
        </is>
      </c>
      <c r="L31" t="inlineStr">
        <is>
          <t>100.0</t>
        </is>
      </c>
      <c r="M31" t="inlineStr">
        <is>
          <t>558</t>
        </is>
      </c>
      <c r="N31" t="inlineStr">
        <is>
          <t>reported</t>
        </is>
      </c>
      <c r="O31" t="inlineStr">
        <is>
          <t>EDB原表總數行；按課程類別列合計。</t>
        </is>
      </c>
    </row>
    <row r="32" ht="33" customHeight="1">
      <c r="A32" s="15" t="inlineStr">
        <is>
          <t>EDB-S6-2021</t>
        </is>
      </c>
      <c r="B32" t="inlineStr">
        <is>
          <t>2021 Secondary 6 Students’ Pathway Survey</t>
        </is>
      </c>
      <c r="C32" t="inlineStr">
        <is>
          <t>2.3</t>
        </is>
      </c>
      <c r="D32" t="inlineStr">
        <is>
          <t>14</t>
        </is>
      </c>
      <c r="E32" t="inlineStr">
        <is>
          <t>19</t>
        </is>
      </c>
      <c r="F32" t="inlineStr">
        <is>
          <t>2021-10</t>
        </is>
      </c>
      <c r="I32" t="inlineStr">
        <is>
          <t>POSTSECONDARY</t>
        </is>
      </c>
      <c r="J32" t="inlineStr">
        <is>
          <t>美國</t>
        </is>
      </c>
      <c r="K32" t="inlineStr">
        <is>
          <t>23</t>
        </is>
      </c>
      <c r="L32" t="inlineStr">
        <is>
          <t>4.1</t>
        </is>
      </c>
      <c r="M32" t="inlineStr">
        <is>
          <t>558</t>
        </is>
      </c>
      <c r="N32" t="inlineStr">
        <is>
          <t>reported</t>
        </is>
      </c>
      <c r="O32" t="inlineStr">
        <is>
          <t>百分比分母為同一課程類別欄總數；參照期為10月。</t>
        </is>
      </c>
    </row>
    <row r="33" ht="33" customHeight="1">
      <c r="A33" s="15" t="inlineStr">
        <is>
          <t>EDB-S6-2021</t>
        </is>
      </c>
      <c r="B33" t="inlineStr">
        <is>
          <t>2021 Secondary 6 Students’ Pathway Survey</t>
        </is>
      </c>
      <c r="C33" t="inlineStr">
        <is>
          <t>2.3</t>
        </is>
      </c>
      <c r="D33" t="inlineStr">
        <is>
          <t>14</t>
        </is>
      </c>
      <c r="E33" t="inlineStr">
        <is>
          <t>19</t>
        </is>
      </c>
      <c r="F33" t="inlineStr">
        <is>
          <t>2021-10</t>
        </is>
      </c>
      <c r="I33" t="inlineStr">
        <is>
          <t>POSTSECONDARY</t>
        </is>
      </c>
      <c r="J33" t="inlineStr">
        <is>
          <t>英國</t>
        </is>
      </c>
      <c r="K33" t="inlineStr">
        <is>
          <t>146</t>
        </is>
      </c>
      <c r="L33" t="inlineStr">
        <is>
          <t>26.2</t>
        </is>
      </c>
      <c r="M33" t="inlineStr">
        <is>
          <t>558</t>
        </is>
      </c>
      <c r="N33" t="inlineStr">
        <is>
          <t>reported</t>
        </is>
      </c>
      <c r="O33" t="inlineStr">
        <is>
          <t>百分比分母為同一課程類別欄總數；參照期為10月。</t>
        </is>
      </c>
    </row>
    <row r="34">
      <c r="A34" s="15" t="inlineStr">
        <is>
          <t>EDB-S6-2022</t>
        </is>
      </c>
      <c r="B34" t="inlineStr">
        <is>
          <t>2022 Secondary 6 Students’ Pathway Survey</t>
        </is>
      </c>
      <c r="C34" t="inlineStr">
        <is>
          <t>2.3</t>
        </is>
      </c>
      <c r="D34" t="inlineStr">
        <is>
          <t>14</t>
        </is>
      </c>
      <c r="E34" t="inlineStr">
        <is>
          <t>19</t>
        </is>
      </c>
      <c r="F34" t="inlineStr">
        <is>
          <t>2022-10</t>
        </is>
      </c>
      <c r="I34" t="inlineStr">
        <is>
          <t>ALL</t>
        </is>
      </c>
      <c r="J34" t="inlineStr">
        <is>
          <t>中國內地</t>
        </is>
      </c>
      <c r="K34" t="inlineStr">
        <is>
          <t>1869</t>
        </is>
      </c>
      <c r="L34" t="inlineStr">
        <is>
          <t>39.0</t>
        </is>
      </c>
      <c r="M34" t="inlineStr">
        <is>
          <t>4789</t>
        </is>
      </c>
      <c r="N34" t="inlineStr">
        <is>
          <t>reported</t>
        </is>
      </c>
      <c r="O34" t="inlineStr">
        <is>
          <t>百分比分母為同一課程類別欄總數；參照期為10月。</t>
        </is>
      </c>
    </row>
    <row r="35">
      <c r="A35" s="15" t="inlineStr">
        <is>
          <t>EDB-S6-2022</t>
        </is>
      </c>
      <c r="B35" t="inlineStr">
        <is>
          <t>2022 Secondary 6 Students’ Pathway Survey</t>
        </is>
      </c>
      <c r="C35" t="inlineStr">
        <is>
          <t>2.3</t>
        </is>
      </c>
      <c r="D35" t="inlineStr">
        <is>
          <t>14</t>
        </is>
      </c>
      <c r="E35" t="inlineStr">
        <is>
          <t>19</t>
        </is>
      </c>
      <c r="F35" t="inlineStr">
        <is>
          <t>2022-10</t>
        </is>
      </c>
      <c r="I35" t="inlineStr">
        <is>
          <t>ALL</t>
        </is>
      </c>
      <c r="J35" t="inlineStr">
        <is>
          <t>其他</t>
        </is>
      </c>
      <c r="K35" t="inlineStr">
        <is>
          <t>234</t>
        </is>
      </c>
      <c r="L35" t="inlineStr">
        <is>
          <t>4.9</t>
        </is>
      </c>
      <c r="M35" t="inlineStr">
        <is>
          <t>4789</t>
        </is>
      </c>
      <c r="N35" t="inlineStr">
        <is>
          <t>reported</t>
        </is>
      </c>
      <c r="O35" t="inlineStr">
        <is>
          <t>百分比分母為同一課程類別欄總數；參照期為10月。</t>
        </is>
      </c>
    </row>
    <row r="36">
      <c r="A36" s="15" t="inlineStr">
        <is>
          <t>EDB-S6-2022</t>
        </is>
      </c>
      <c r="B36" t="inlineStr">
        <is>
          <t>2022 Secondary 6 Students’ Pathway Survey</t>
        </is>
      </c>
      <c r="C36" t="inlineStr">
        <is>
          <t>2.3</t>
        </is>
      </c>
      <c r="D36" t="inlineStr">
        <is>
          <t>14</t>
        </is>
      </c>
      <c r="E36" t="inlineStr">
        <is>
          <t>19</t>
        </is>
      </c>
      <c r="F36" t="inlineStr">
        <is>
          <t>2022-10</t>
        </is>
      </c>
      <c r="I36" t="inlineStr">
        <is>
          <t>ALL</t>
        </is>
      </c>
      <c r="J36" t="inlineStr">
        <is>
          <t>加拿大</t>
        </is>
      </c>
      <c r="K36" t="inlineStr">
        <is>
          <t>251</t>
        </is>
      </c>
      <c r="L36" t="inlineStr">
        <is>
          <t>5.2</t>
        </is>
      </c>
      <c r="M36" t="inlineStr">
        <is>
          <t>4789</t>
        </is>
      </c>
      <c r="N36" t="inlineStr">
        <is>
          <t>reported</t>
        </is>
      </c>
      <c r="O36" t="inlineStr">
        <is>
          <t>百分比分母為同一課程類別欄總數；參照期為10月。</t>
        </is>
      </c>
    </row>
    <row r="37">
      <c r="A37" s="15" t="inlineStr">
        <is>
          <t>EDB-S6-2022</t>
        </is>
      </c>
      <c r="B37" t="inlineStr">
        <is>
          <t>2022 Secondary 6 Students’ Pathway Survey</t>
        </is>
      </c>
      <c r="C37" t="inlineStr">
        <is>
          <t>2.3</t>
        </is>
      </c>
      <c r="D37" t="inlineStr">
        <is>
          <t>14</t>
        </is>
      </c>
      <c r="E37" t="inlineStr">
        <is>
          <t>19</t>
        </is>
      </c>
      <c r="F37" t="inlineStr">
        <is>
          <t>2022-10</t>
        </is>
      </c>
      <c r="I37" t="inlineStr">
        <is>
          <t>ALL</t>
        </is>
      </c>
      <c r="J37" t="inlineStr">
        <is>
          <t>台灣</t>
        </is>
      </c>
      <c r="K37" t="inlineStr">
        <is>
          <t>794</t>
        </is>
      </c>
      <c r="L37" t="inlineStr">
        <is>
          <t>16.6</t>
        </is>
      </c>
      <c r="M37" t="inlineStr">
        <is>
          <t>4789</t>
        </is>
      </c>
      <c r="N37" t="inlineStr">
        <is>
          <t>reported</t>
        </is>
      </c>
      <c r="O37" t="inlineStr">
        <is>
          <t>百分比分母為同一課程類別欄總數；參照期為10月。</t>
        </is>
      </c>
    </row>
    <row r="38">
      <c r="A38" s="15" t="inlineStr">
        <is>
          <t>EDB-S6-2022</t>
        </is>
      </c>
      <c r="B38" t="inlineStr">
        <is>
          <t>2022 Secondary 6 Students’ Pathway Survey</t>
        </is>
      </c>
      <c r="C38" t="inlineStr">
        <is>
          <t>2.3</t>
        </is>
      </c>
      <c r="D38" t="inlineStr">
        <is>
          <t>14</t>
        </is>
      </c>
      <c r="E38" t="inlineStr">
        <is>
          <t>19</t>
        </is>
      </c>
      <c r="F38" t="inlineStr">
        <is>
          <t>2022-10</t>
        </is>
      </c>
      <c r="I38" t="inlineStr">
        <is>
          <t>ALL</t>
        </is>
      </c>
      <c r="J38" t="inlineStr">
        <is>
          <t>澳洲</t>
        </is>
      </c>
      <c r="K38" t="inlineStr">
        <is>
          <t>421</t>
        </is>
      </c>
      <c r="L38" t="inlineStr">
        <is>
          <t>8.8</t>
        </is>
      </c>
      <c r="M38" t="inlineStr">
        <is>
          <t>4789</t>
        </is>
      </c>
      <c r="N38" t="inlineStr">
        <is>
          <t>reported</t>
        </is>
      </c>
      <c r="O38" t="inlineStr">
        <is>
          <t>百分比分母為同一課程類別欄總數；參照期為10月。</t>
        </is>
      </c>
    </row>
    <row r="39">
      <c r="A39" s="15" t="inlineStr">
        <is>
          <t>EDB-S6-2022</t>
        </is>
      </c>
      <c r="B39" t="inlineStr">
        <is>
          <t>2022 Secondary 6 Students’ Pathway Survey</t>
        </is>
      </c>
      <c r="C39" t="inlineStr">
        <is>
          <t>2.3</t>
        </is>
      </c>
      <c r="D39" t="inlineStr">
        <is>
          <t>14</t>
        </is>
      </c>
      <c r="E39" t="inlineStr">
        <is>
          <t>19</t>
        </is>
      </c>
      <c r="F39" t="inlineStr">
        <is>
          <t>2022-10</t>
        </is>
      </c>
      <c r="I39" t="inlineStr">
        <is>
          <t>ALL</t>
        </is>
      </c>
      <c r="J39" t="inlineStr">
        <is>
          <t>總數</t>
        </is>
      </c>
      <c r="K39" t="inlineStr">
        <is>
          <t>4789</t>
        </is>
      </c>
      <c r="L39" t="inlineStr">
        <is>
          <t>100.0</t>
        </is>
      </c>
      <c r="M39" t="inlineStr">
        <is>
          <t>4789</t>
        </is>
      </c>
      <c r="N39" t="inlineStr">
        <is>
          <t>reported</t>
        </is>
      </c>
      <c r="O39" t="inlineStr">
        <is>
          <t>EDB原表總數行；按課程類別列合計。</t>
        </is>
      </c>
    </row>
    <row r="40">
      <c r="A40" s="15" t="inlineStr">
        <is>
          <t>EDB-S6-2022</t>
        </is>
      </c>
      <c r="B40" t="inlineStr">
        <is>
          <t>2022 Secondary 6 Students’ Pathway Survey</t>
        </is>
      </c>
      <c r="C40" t="inlineStr">
        <is>
          <t>2.3</t>
        </is>
      </c>
      <c r="D40" t="inlineStr">
        <is>
          <t>14</t>
        </is>
      </c>
      <c r="E40" t="inlineStr">
        <is>
          <t>19</t>
        </is>
      </c>
      <c r="F40" t="inlineStr">
        <is>
          <t>2022-10</t>
        </is>
      </c>
      <c r="I40" t="inlineStr">
        <is>
          <t>ALL</t>
        </is>
      </c>
      <c r="J40" t="inlineStr">
        <is>
          <t>美國</t>
        </is>
      </c>
      <c r="K40" t="inlineStr">
        <is>
          <t>107</t>
        </is>
      </c>
      <c r="L40" t="inlineStr">
        <is>
          <t>2.2</t>
        </is>
      </c>
      <c r="M40" t="inlineStr">
        <is>
          <t>4789</t>
        </is>
      </c>
      <c r="N40" t="inlineStr">
        <is>
          <t>reported</t>
        </is>
      </c>
      <c r="O40" t="inlineStr">
        <is>
          <t>百分比分母為同一課程類別欄總數；參照期為10月。</t>
        </is>
      </c>
    </row>
    <row r="41">
      <c r="A41" s="15" t="inlineStr">
        <is>
          <t>EDB-S6-2022</t>
        </is>
      </c>
      <c r="B41" t="inlineStr">
        <is>
          <t>2022 Secondary 6 Students’ Pathway Survey</t>
        </is>
      </c>
      <c r="C41" t="inlineStr">
        <is>
          <t>2.3</t>
        </is>
      </c>
      <c r="D41" t="inlineStr">
        <is>
          <t>14</t>
        </is>
      </c>
      <c r="E41" t="inlineStr">
        <is>
          <t>19</t>
        </is>
      </c>
      <c r="F41" t="inlineStr">
        <is>
          <t>2022-10</t>
        </is>
      </c>
      <c r="I41" t="inlineStr">
        <is>
          <t>ALL</t>
        </is>
      </c>
      <c r="J41" t="inlineStr">
        <is>
          <t>英國</t>
        </is>
      </c>
      <c r="K41" t="inlineStr">
        <is>
          <t>1113</t>
        </is>
      </c>
      <c r="L41" t="inlineStr">
        <is>
          <t>23.2</t>
        </is>
      </c>
      <c r="M41" t="inlineStr">
        <is>
          <t>4789</t>
        </is>
      </c>
      <c r="N41" t="inlineStr">
        <is>
          <t>reported</t>
        </is>
      </c>
      <c r="O41" t="inlineStr">
        <is>
          <t>百分比分母為同一課程類別欄總數；參照期為10月。</t>
        </is>
      </c>
    </row>
    <row r="42">
      <c r="A42" s="15" t="inlineStr">
        <is>
          <t>EDB-S6-2022</t>
        </is>
      </c>
      <c r="B42" t="inlineStr">
        <is>
          <t>2022 Secondary 6 Students’ Pathway Survey</t>
        </is>
      </c>
      <c r="C42" t="inlineStr">
        <is>
          <t>2.3</t>
        </is>
      </c>
      <c r="D42" t="inlineStr">
        <is>
          <t>14</t>
        </is>
      </c>
      <c r="E42" t="inlineStr">
        <is>
          <t>19</t>
        </is>
      </c>
      <c r="F42" t="inlineStr">
        <is>
          <t>2022-10</t>
        </is>
      </c>
      <c r="I42" t="inlineStr">
        <is>
          <t>BACHELOR</t>
        </is>
      </c>
      <c r="J42" t="inlineStr">
        <is>
          <t>中國內地</t>
        </is>
      </c>
      <c r="K42" t="inlineStr">
        <is>
          <t>1560</t>
        </is>
      </c>
      <c r="L42" t="inlineStr">
        <is>
          <t>39.5</t>
        </is>
      </c>
      <c r="M42" t="inlineStr">
        <is>
          <t>3954</t>
        </is>
      </c>
      <c r="N42" t="inlineStr">
        <is>
          <t>reported</t>
        </is>
      </c>
      <c r="O42" t="inlineStr">
        <is>
          <t>百分比分母為同一課程類別欄總數；參照期為10月。</t>
        </is>
      </c>
    </row>
    <row r="43">
      <c r="A43" s="15" t="inlineStr">
        <is>
          <t>EDB-S6-2022</t>
        </is>
      </c>
      <c r="B43" t="inlineStr">
        <is>
          <t>2022 Secondary 6 Students’ Pathway Survey</t>
        </is>
      </c>
      <c r="C43" t="inlineStr">
        <is>
          <t>2.3</t>
        </is>
      </c>
      <c r="D43" t="inlineStr">
        <is>
          <t>14</t>
        </is>
      </c>
      <c r="E43" t="inlineStr">
        <is>
          <t>19</t>
        </is>
      </c>
      <c r="F43" t="inlineStr">
        <is>
          <t>2022-10</t>
        </is>
      </c>
      <c r="I43" t="inlineStr">
        <is>
          <t>BACHELOR</t>
        </is>
      </c>
      <c r="J43" t="inlineStr">
        <is>
          <t>其他</t>
        </is>
      </c>
      <c r="K43" t="inlineStr">
        <is>
          <t>145</t>
        </is>
      </c>
      <c r="L43" t="inlineStr">
        <is>
          <t>3.7</t>
        </is>
      </c>
      <c r="M43" t="inlineStr">
        <is>
          <t>3954</t>
        </is>
      </c>
      <c r="N43" t="inlineStr">
        <is>
          <t>reported</t>
        </is>
      </c>
      <c r="O43" t="inlineStr">
        <is>
          <t>百分比分母為同一課程類別欄總數；參照期為10月。</t>
        </is>
      </c>
    </row>
    <row r="44">
      <c r="A44" s="15" t="inlineStr">
        <is>
          <t>EDB-S6-2022</t>
        </is>
      </c>
      <c r="B44" t="inlineStr">
        <is>
          <t>2022 Secondary 6 Students’ Pathway Survey</t>
        </is>
      </c>
      <c r="C44" t="inlineStr">
        <is>
          <t>2.3</t>
        </is>
      </c>
      <c r="D44" t="inlineStr">
        <is>
          <t>14</t>
        </is>
      </c>
      <c r="E44" t="inlineStr">
        <is>
          <t>19</t>
        </is>
      </c>
      <c r="F44" t="inlineStr">
        <is>
          <t>2022-10</t>
        </is>
      </c>
      <c r="I44" t="inlineStr">
        <is>
          <t>BACHELOR</t>
        </is>
      </c>
      <c r="J44" t="inlineStr">
        <is>
          <t>加拿大</t>
        </is>
      </c>
      <c r="K44" t="inlineStr">
        <is>
          <t>188</t>
        </is>
      </c>
      <c r="L44" t="inlineStr">
        <is>
          <t>4.8</t>
        </is>
      </c>
      <c r="M44" t="inlineStr">
        <is>
          <t>3954</t>
        </is>
      </c>
      <c r="N44" t="inlineStr">
        <is>
          <t>reported</t>
        </is>
      </c>
      <c r="O44" t="inlineStr">
        <is>
          <t>百分比分母為同一課程類別欄總數；參照期為10月。</t>
        </is>
      </c>
    </row>
    <row r="45">
      <c r="A45" s="15" t="inlineStr">
        <is>
          <t>EDB-S6-2022</t>
        </is>
      </c>
      <c r="B45" t="inlineStr">
        <is>
          <t>2022 Secondary 6 Students’ Pathway Survey</t>
        </is>
      </c>
      <c r="C45" t="inlineStr">
        <is>
          <t>2.3</t>
        </is>
      </c>
      <c r="D45" t="inlineStr">
        <is>
          <t>14</t>
        </is>
      </c>
      <c r="E45" t="inlineStr">
        <is>
          <t>19</t>
        </is>
      </c>
      <c r="F45" t="inlineStr">
        <is>
          <t>2022-10</t>
        </is>
      </c>
      <c r="I45" t="inlineStr">
        <is>
          <t>BACHELOR</t>
        </is>
      </c>
      <c r="J45" t="inlineStr">
        <is>
          <t>台灣</t>
        </is>
      </c>
      <c r="K45" t="inlineStr">
        <is>
          <t>767</t>
        </is>
      </c>
      <c r="L45" t="inlineStr">
        <is>
          <t>19.4</t>
        </is>
      </c>
      <c r="M45" t="inlineStr">
        <is>
          <t>3954</t>
        </is>
      </c>
      <c r="N45" t="inlineStr">
        <is>
          <t>reported</t>
        </is>
      </c>
      <c r="O45" t="inlineStr">
        <is>
          <t>百分比分母為同一課程類別欄總數；參照期為10月。</t>
        </is>
      </c>
    </row>
    <row r="46">
      <c r="A46" s="15" t="inlineStr">
        <is>
          <t>EDB-S6-2022</t>
        </is>
      </c>
      <c r="B46" t="inlineStr">
        <is>
          <t>2022 Secondary 6 Students’ Pathway Survey</t>
        </is>
      </c>
      <c r="C46" t="inlineStr">
        <is>
          <t>2.3</t>
        </is>
      </c>
      <c r="D46" t="inlineStr">
        <is>
          <t>14</t>
        </is>
      </c>
      <c r="E46" t="inlineStr">
        <is>
          <t>19</t>
        </is>
      </c>
      <c r="F46" t="inlineStr">
        <is>
          <t>2022-10</t>
        </is>
      </c>
      <c r="I46" t="inlineStr">
        <is>
          <t>BACHELOR</t>
        </is>
      </c>
      <c r="J46" t="inlineStr">
        <is>
          <t>澳洲</t>
        </is>
      </c>
      <c r="K46" t="inlineStr">
        <is>
          <t>305</t>
        </is>
      </c>
      <c r="L46" t="inlineStr">
        <is>
          <t>7.7</t>
        </is>
      </c>
      <c r="M46" t="inlineStr">
        <is>
          <t>3954</t>
        </is>
      </c>
      <c r="N46" t="inlineStr">
        <is>
          <t>reported</t>
        </is>
      </c>
      <c r="O46" t="inlineStr">
        <is>
          <t>百分比分母為同一課程類別欄總數；參照期為10月。</t>
        </is>
      </c>
    </row>
    <row r="47">
      <c r="A47" s="15" t="inlineStr">
        <is>
          <t>EDB-S6-2022</t>
        </is>
      </c>
      <c r="B47" t="inlineStr">
        <is>
          <t>2022 Secondary 6 Students’ Pathway Survey</t>
        </is>
      </c>
      <c r="C47" t="inlineStr">
        <is>
          <t>2.3</t>
        </is>
      </c>
      <c r="D47" t="inlineStr">
        <is>
          <t>14</t>
        </is>
      </c>
      <c r="E47" t="inlineStr">
        <is>
          <t>19</t>
        </is>
      </c>
      <c r="F47" t="inlineStr">
        <is>
          <t>2022-10</t>
        </is>
      </c>
      <c r="I47" t="inlineStr">
        <is>
          <t>BACHELOR</t>
        </is>
      </c>
      <c r="J47" t="inlineStr">
        <is>
          <t>總數</t>
        </is>
      </c>
      <c r="K47" t="inlineStr">
        <is>
          <t>3954</t>
        </is>
      </c>
      <c r="L47" t="inlineStr">
        <is>
          <t>100.0</t>
        </is>
      </c>
      <c r="M47" t="inlineStr">
        <is>
          <t>3954</t>
        </is>
      </c>
      <c r="N47" t="inlineStr">
        <is>
          <t>reported</t>
        </is>
      </c>
      <c r="O47" t="inlineStr">
        <is>
          <t>EDB原表總數行；按課程類別列合計。</t>
        </is>
      </c>
    </row>
    <row r="48">
      <c r="A48" s="15" t="inlineStr">
        <is>
          <t>EDB-S6-2022</t>
        </is>
      </c>
      <c r="B48" t="inlineStr">
        <is>
          <t>2022 Secondary 6 Students’ Pathway Survey</t>
        </is>
      </c>
      <c r="C48" t="inlineStr">
        <is>
          <t>2.3</t>
        </is>
      </c>
      <c r="D48" t="inlineStr">
        <is>
          <t>14</t>
        </is>
      </c>
      <c r="E48" t="inlineStr">
        <is>
          <t>19</t>
        </is>
      </c>
      <c r="F48" t="inlineStr">
        <is>
          <t>2022-10</t>
        </is>
      </c>
      <c r="I48" t="inlineStr">
        <is>
          <t>BACHELOR</t>
        </is>
      </c>
      <c r="J48" t="inlineStr">
        <is>
          <t>美國</t>
        </is>
      </c>
      <c r="K48" t="inlineStr">
        <is>
          <t>74</t>
        </is>
      </c>
      <c r="L48" t="inlineStr">
        <is>
          <t>1.9</t>
        </is>
      </c>
      <c r="M48" t="inlineStr">
        <is>
          <t>3954</t>
        </is>
      </c>
      <c r="N48" t="inlineStr">
        <is>
          <t>reported</t>
        </is>
      </c>
      <c r="O48" t="inlineStr">
        <is>
          <t>百分比分母為同一課程類別欄總數；參照期為10月。</t>
        </is>
      </c>
    </row>
    <row r="49">
      <c r="A49" s="15" t="inlineStr">
        <is>
          <t>EDB-S6-2022</t>
        </is>
      </c>
      <c r="B49" t="inlineStr">
        <is>
          <t>2022 Secondary 6 Students’ Pathway Survey</t>
        </is>
      </c>
      <c r="C49" t="inlineStr">
        <is>
          <t>2.3</t>
        </is>
      </c>
      <c r="D49" t="inlineStr">
        <is>
          <t>14</t>
        </is>
      </c>
      <c r="E49" t="inlineStr">
        <is>
          <t>19</t>
        </is>
      </c>
      <c r="F49" t="inlineStr">
        <is>
          <t>2022-10</t>
        </is>
      </c>
      <c r="I49" t="inlineStr">
        <is>
          <t>BACHELOR</t>
        </is>
      </c>
      <c r="J49" t="inlineStr">
        <is>
          <t>英國</t>
        </is>
      </c>
      <c r="K49" t="inlineStr">
        <is>
          <t>915</t>
        </is>
      </c>
      <c r="L49" t="inlineStr">
        <is>
          <t>23.1</t>
        </is>
      </c>
      <c r="M49" t="inlineStr">
        <is>
          <t>3954</t>
        </is>
      </c>
      <c r="N49" t="inlineStr">
        <is>
          <t>reported</t>
        </is>
      </c>
      <c r="O49" t="inlineStr">
        <is>
          <t>百分比分母為同一課程類別欄總數；參照期為10月。</t>
        </is>
      </c>
    </row>
    <row r="50">
      <c r="A50" s="15" t="inlineStr">
        <is>
          <t>EDB-S6-2022</t>
        </is>
      </c>
      <c r="B50" t="inlineStr">
        <is>
          <t>2022 Secondary 6 Students’ Pathway Survey</t>
        </is>
      </c>
      <c r="C50" t="inlineStr">
        <is>
          <t>2.3</t>
        </is>
      </c>
      <c r="D50" t="inlineStr">
        <is>
          <t>14</t>
        </is>
      </c>
      <c r="E50" t="inlineStr">
        <is>
          <t>19</t>
        </is>
      </c>
      <c r="F50" t="inlineStr">
        <is>
          <t>2022-10</t>
        </is>
      </c>
      <c r="I50" t="inlineStr">
        <is>
          <t>OTHER_FULL_TIME</t>
        </is>
      </c>
      <c r="J50" t="inlineStr">
        <is>
          <t>中國內地</t>
        </is>
      </c>
      <c r="K50" t="inlineStr">
        <is>
          <t>133</t>
        </is>
      </c>
      <c r="L50" t="inlineStr">
        <is>
          <t>51.8</t>
        </is>
      </c>
      <c r="M50" t="inlineStr">
        <is>
          <t>257</t>
        </is>
      </c>
      <c r="N50" t="inlineStr">
        <is>
          <t>reported</t>
        </is>
      </c>
      <c r="O50" t="inlineStr">
        <is>
          <t>百分比分母為同一課程類別欄總數；參照期為10月。</t>
        </is>
      </c>
    </row>
    <row r="51">
      <c r="A51" s="15" t="inlineStr">
        <is>
          <t>EDB-S6-2022</t>
        </is>
      </c>
      <c r="B51" t="inlineStr">
        <is>
          <t>2022 Secondary 6 Students’ Pathway Survey</t>
        </is>
      </c>
      <c r="C51" t="inlineStr">
        <is>
          <t>2.3</t>
        </is>
      </c>
      <c r="D51" t="inlineStr">
        <is>
          <t>14</t>
        </is>
      </c>
      <c r="E51" t="inlineStr">
        <is>
          <t>19</t>
        </is>
      </c>
      <c r="F51" t="inlineStr">
        <is>
          <t>2022-10</t>
        </is>
      </c>
      <c r="I51" t="inlineStr">
        <is>
          <t>OTHER_FULL_TIME</t>
        </is>
      </c>
      <c r="J51" t="inlineStr">
        <is>
          <t>其他</t>
        </is>
      </c>
      <c r="K51" t="inlineStr">
        <is>
          <t>56</t>
        </is>
      </c>
      <c r="L51" t="inlineStr">
        <is>
          <t>21.8</t>
        </is>
      </c>
      <c r="M51" t="inlineStr">
        <is>
          <t>257</t>
        </is>
      </c>
      <c r="N51" t="inlineStr">
        <is>
          <t>reported</t>
        </is>
      </c>
      <c r="O51" t="inlineStr">
        <is>
          <t>百分比分母為同一課程類別欄總數；參照期為10月。</t>
        </is>
      </c>
    </row>
    <row r="52">
      <c r="A52" s="15" t="inlineStr">
        <is>
          <t>EDB-S6-2022</t>
        </is>
      </c>
      <c r="B52" t="inlineStr">
        <is>
          <t>2022 Secondary 6 Students’ Pathway Survey</t>
        </is>
      </c>
      <c r="C52" t="inlineStr">
        <is>
          <t>2.3</t>
        </is>
      </c>
      <c r="D52" t="inlineStr">
        <is>
          <t>14</t>
        </is>
      </c>
      <c r="E52" t="inlineStr">
        <is>
          <t>19</t>
        </is>
      </c>
      <c r="F52" t="inlineStr">
        <is>
          <t>2022-10</t>
        </is>
      </c>
      <c r="I52" t="inlineStr">
        <is>
          <t>OTHER_FULL_TIME</t>
        </is>
      </c>
      <c r="J52" t="inlineStr">
        <is>
          <t>加拿大</t>
        </is>
      </c>
      <c r="K52" t="inlineStr">
        <is>
          <t>11</t>
        </is>
      </c>
      <c r="L52" t="inlineStr">
        <is>
          <t>4.3</t>
        </is>
      </c>
      <c r="M52" t="inlineStr">
        <is>
          <t>257</t>
        </is>
      </c>
      <c r="N52" t="inlineStr">
        <is>
          <t>reported</t>
        </is>
      </c>
      <c r="O52" t="inlineStr">
        <is>
          <t>百分比分母為同一課程類別欄總數；參照期為10月。</t>
        </is>
      </c>
    </row>
    <row r="53">
      <c r="A53" s="15" t="inlineStr">
        <is>
          <t>EDB-S6-2022</t>
        </is>
      </c>
      <c r="B53" t="inlineStr">
        <is>
          <t>2022 Secondary 6 Students’ Pathway Survey</t>
        </is>
      </c>
      <c r="C53" t="inlineStr">
        <is>
          <t>2.3</t>
        </is>
      </c>
      <c r="D53" t="inlineStr">
        <is>
          <t>14</t>
        </is>
      </c>
      <c r="E53" t="inlineStr">
        <is>
          <t>19</t>
        </is>
      </c>
      <c r="F53" t="inlineStr">
        <is>
          <t>2022-10</t>
        </is>
      </c>
      <c r="I53" t="inlineStr">
        <is>
          <t>OTHER_FULL_TIME</t>
        </is>
      </c>
      <c r="J53" t="inlineStr">
        <is>
          <t>台灣</t>
        </is>
      </c>
      <c r="K53" t="inlineStr">
        <is>
          <t>9</t>
        </is>
      </c>
      <c r="L53" t="inlineStr">
        <is>
          <t>3.5</t>
        </is>
      </c>
      <c r="M53" t="inlineStr">
        <is>
          <t>257</t>
        </is>
      </c>
      <c r="N53" t="inlineStr">
        <is>
          <t>reported</t>
        </is>
      </c>
      <c r="O53" t="inlineStr">
        <is>
          <t>百分比分母為同一課程類別欄總數；參照期為10月。</t>
        </is>
      </c>
    </row>
    <row r="54">
      <c r="A54" s="15" t="inlineStr">
        <is>
          <t>EDB-S6-2022</t>
        </is>
      </c>
      <c r="B54" t="inlineStr">
        <is>
          <t>2022 Secondary 6 Students’ Pathway Survey</t>
        </is>
      </c>
      <c r="C54" t="inlineStr">
        <is>
          <t>2.3</t>
        </is>
      </c>
      <c r="D54" t="inlineStr">
        <is>
          <t>14</t>
        </is>
      </c>
      <c r="E54" t="inlineStr">
        <is>
          <t>19</t>
        </is>
      </c>
      <c r="F54" t="inlineStr">
        <is>
          <t>2022-10</t>
        </is>
      </c>
      <c r="I54" t="inlineStr">
        <is>
          <t>OTHER_FULL_TIME</t>
        </is>
      </c>
      <c r="J54" t="inlineStr">
        <is>
          <t>澳洲</t>
        </is>
      </c>
      <c r="K54" t="inlineStr">
        <is>
          <t>16</t>
        </is>
      </c>
      <c r="L54" t="inlineStr">
        <is>
          <t>6.2</t>
        </is>
      </c>
      <c r="M54" t="inlineStr">
        <is>
          <t>257</t>
        </is>
      </c>
      <c r="N54" t="inlineStr">
        <is>
          <t>reported</t>
        </is>
      </c>
      <c r="O54" t="inlineStr">
        <is>
          <t>百分比分母為同一課程類別欄總數；參照期為10月。</t>
        </is>
      </c>
    </row>
    <row r="55">
      <c r="A55" s="15" t="inlineStr">
        <is>
          <t>EDB-S6-2022</t>
        </is>
      </c>
      <c r="B55" t="inlineStr">
        <is>
          <t>2022 Secondary 6 Students’ Pathway Survey</t>
        </is>
      </c>
      <c r="C55" t="inlineStr">
        <is>
          <t>2.3</t>
        </is>
      </c>
      <c r="D55" t="inlineStr">
        <is>
          <t>14</t>
        </is>
      </c>
      <c r="E55" t="inlineStr">
        <is>
          <t>19</t>
        </is>
      </c>
      <c r="F55" t="inlineStr">
        <is>
          <t>2022-10</t>
        </is>
      </c>
      <c r="I55" t="inlineStr">
        <is>
          <t>OTHER_FULL_TIME</t>
        </is>
      </c>
      <c r="J55" t="inlineStr">
        <is>
          <t>總數</t>
        </is>
      </c>
      <c r="K55" t="inlineStr">
        <is>
          <t>257</t>
        </is>
      </c>
      <c r="L55" t="inlineStr">
        <is>
          <t>100.0</t>
        </is>
      </c>
      <c r="M55" t="inlineStr">
        <is>
          <t>257</t>
        </is>
      </c>
      <c r="N55" t="inlineStr">
        <is>
          <t>reported</t>
        </is>
      </c>
      <c r="O55" t="inlineStr">
        <is>
          <t>EDB原表總數行；按課程類別列合計。</t>
        </is>
      </c>
    </row>
    <row r="56">
      <c r="A56" s="15" t="inlineStr">
        <is>
          <t>EDB-S6-2022</t>
        </is>
      </c>
      <c r="B56" t="inlineStr">
        <is>
          <t>2022 Secondary 6 Students’ Pathway Survey</t>
        </is>
      </c>
      <c r="C56" t="inlineStr">
        <is>
          <t>2.3</t>
        </is>
      </c>
      <c r="D56" t="inlineStr">
        <is>
          <t>14</t>
        </is>
      </c>
      <c r="E56" t="inlineStr">
        <is>
          <t>19</t>
        </is>
      </c>
      <c r="F56" t="inlineStr">
        <is>
          <t>2022-10</t>
        </is>
      </c>
      <c r="I56" t="inlineStr">
        <is>
          <t>OTHER_FULL_TIME</t>
        </is>
      </c>
      <c r="J56" t="inlineStr">
        <is>
          <t>美國</t>
        </is>
      </c>
      <c r="K56" t="inlineStr">
        <is>
          <t>7</t>
        </is>
      </c>
      <c r="L56" t="inlineStr">
        <is>
          <t>2.7</t>
        </is>
      </c>
      <c r="M56" t="inlineStr">
        <is>
          <t>257</t>
        </is>
      </c>
      <c r="N56" t="inlineStr">
        <is>
          <t>reported</t>
        </is>
      </c>
      <c r="O56" t="inlineStr">
        <is>
          <t>百分比分母為同一課程類別欄總數；參照期為10月。</t>
        </is>
      </c>
    </row>
    <row r="57">
      <c r="A57" s="15" t="inlineStr">
        <is>
          <t>EDB-S6-2022</t>
        </is>
      </c>
      <c r="B57" t="inlineStr">
        <is>
          <t>2022 Secondary 6 Students’ Pathway Survey</t>
        </is>
      </c>
      <c r="C57" t="inlineStr">
        <is>
          <t>2.3</t>
        </is>
      </c>
      <c r="D57" t="inlineStr">
        <is>
          <t>14</t>
        </is>
      </c>
      <c r="E57" t="inlineStr">
        <is>
          <t>19</t>
        </is>
      </c>
      <c r="F57" t="inlineStr">
        <is>
          <t>2022-10</t>
        </is>
      </c>
      <c r="I57" t="inlineStr">
        <is>
          <t>OTHER_FULL_TIME</t>
        </is>
      </c>
      <c r="J57" t="inlineStr">
        <is>
          <t>英國</t>
        </is>
      </c>
      <c r="K57" t="inlineStr">
        <is>
          <t>25</t>
        </is>
      </c>
      <c r="L57" t="inlineStr">
        <is>
          <t>9.7</t>
        </is>
      </c>
      <c r="M57" t="inlineStr">
        <is>
          <t>257</t>
        </is>
      </c>
      <c r="N57" t="inlineStr">
        <is>
          <t>reported</t>
        </is>
      </c>
      <c r="O57" t="inlineStr">
        <is>
          <t>百分比分母為同一課程類別欄總數；參照期為10月。</t>
        </is>
      </c>
    </row>
    <row r="58">
      <c r="A58" s="15" t="inlineStr">
        <is>
          <t>EDB-S6-2022</t>
        </is>
      </c>
      <c r="B58" t="inlineStr">
        <is>
          <t>2022 Secondary 6 Students’ Pathway Survey</t>
        </is>
      </c>
      <c r="C58" t="inlineStr">
        <is>
          <t>2.3</t>
        </is>
      </c>
      <c r="D58" t="inlineStr">
        <is>
          <t>14</t>
        </is>
      </c>
      <c r="E58" t="inlineStr">
        <is>
          <t>19</t>
        </is>
      </c>
      <c r="F58" t="inlineStr">
        <is>
          <t>2022-10</t>
        </is>
      </c>
      <c r="I58" t="inlineStr">
        <is>
          <t>POSTSECONDARY</t>
        </is>
      </c>
      <c r="J58" t="inlineStr">
        <is>
          <t>中國內地</t>
        </is>
      </c>
      <c r="K58" t="inlineStr">
        <is>
          <t>176</t>
        </is>
      </c>
      <c r="L58" t="inlineStr">
        <is>
          <t>30.4</t>
        </is>
      </c>
      <c r="M58" t="inlineStr">
        <is>
          <t>578</t>
        </is>
      </c>
      <c r="N58" t="inlineStr">
        <is>
          <t>reported</t>
        </is>
      </c>
      <c r="O58" t="inlineStr">
        <is>
          <t>百分比分母為同一課程類別欄總數；參照期為10月。</t>
        </is>
      </c>
    </row>
    <row r="59">
      <c r="A59" s="15" t="inlineStr">
        <is>
          <t>EDB-S6-2022</t>
        </is>
      </c>
      <c r="B59" t="inlineStr">
        <is>
          <t>2022 Secondary 6 Students’ Pathway Survey</t>
        </is>
      </c>
      <c r="C59" t="inlineStr">
        <is>
          <t>2.3</t>
        </is>
      </c>
      <c r="D59" t="inlineStr">
        <is>
          <t>14</t>
        </is>
      </c>
      <c r="E59" t="inlineStr">
        <is>
          <t>19</t>
        </is>
      </c>
      <c r="F59" t="inlineStr">
        <is>
          <t>2022-10</t>
        </is>
      </c>
      <c r="I59" t="inlineStr">
        <is>
          <t>POSTSECONDARY</t>
        </is>
      </c>
      <c r="J59" t="inlineStr">
        <is>
          <t>其他</t>
        </is>
      </c>
      <c r="K59" t="inlineStr">
        <is>
          <t>33</t>
        </is>
      </c>
      <c r="L59" t="inlineStr">
        <is>
          <t>5.7</t>
        </is>
      </c>
      <c r="M59" t="inlineStr">
        <is>
          <t>578</t>
        </is>
      </c>
      <c r="N59" t="inlineStr">
        <is>
          <t>reported</t>
        </is>
      </c>
      <c r="O59" t="inlineStr">
        <is>
          <t>百分比分母為同一課程類別欄總數；參照期為10月。</t>
        </is>
      </c>
    </row>
    <row r="60">
      <c r="A60" s="15" t="inlineStr">
        <is>
          <t>EDB-S6-2022</t>
        </is>
      </c>
      <c r="B60" t="inlineStr">
        <is>
          <t>2022 Secondary 6 Students’ Pathway Survey</t>
        </is>
      </c>
      <c r="C60" t="inlineStr">
        <is>
          <t>2.3</t>
        </is>
      </c>
      <c r="D60" t="inlineStr">
        <is>
          <t>14</t>
        </is>
      </c>
      <c r="E60" t="inlineStr">
        <is>
          <t>19</t>
        </is>
      </c>
      <c r="F60" t="inlineStr">
        <is>
          <t>2022-10</t>
        </is>
      </c>
      <c r="I60" t="inlineStr">
        <is>
          <t>POSTSECONDARY</t>
        </is>
      </c>
      <c r="J60" t="inlineStr">
        <is>
          <t>加拿大</t>
        </is>
      </c>
      <c r="K60" t="inlineStr">
        <is>
          <t>52</t>
        </is>
      </c>
      <c r="L60" t="inlineStr">
        <is>
          <t>9.0</t>
        </is>
      </c>
      <c r="M60" t="inlineStr">
        <is>
          <t>578</t>
        </is>
      </c>
      <c r="N60" t="inlineStr">
        <is>
          <t>reported</t>
        </is>
      </c>
      <c r="O60" t="inlineStr">
        <is>
          <t>百分比分母為同一課程類別欄總數；參照期為10月。</t>
        </is>
      </c>
    </row>
    <row r="61">
      <c r="A61" s="15" t="inlineStr">
        <is>
          <t>EDB-S6-2022</t>
        </is>
      </c>
      <c r="B61" t="inlineStr">
        <is>
          <t>2022 Secondary 6 Students’ Pathway Survey</t>
        </is>
      </c>
      <c r="C61" t="inlineStr">
        <is>
          <t>2.3</t>
        </is>
      </c>
      <c r="D61" t="inlineStr">
        <is>
          <t>14</t>
        </is>
      </c>
      <c r="E61" t="inlineStr">
        <is>
          <t>19</t>
        </is>
      </c>
      <c r="F61" t="inlineStr">
        <is>
          <t>2022-10</t>
        </is>
      </c>
      <c r="I61" t="inlineStr">
        <is>
          <t>POSTSECONDARY</t>
        </is>
      </c>
      <c r="J61" t="inlineStr">
        <is>
          <t>台灣</t>
        </is>
      </c>
      <c r="K61" t="inlineStr">
        <is>
          <t>18</t>
        </is>
      </c>
      <c r="L61" t="inlineStr">
        <is>
          <t>3.1</t>
        </is>
      </c>
      <c r="M61" t="inlineStr">
        <is>
          <t>578</t>
        </is>
      </c>
      <c r="N61" t="inlineStr">
        <is>
          <t>reported</t>
        </is>
      </c>
      <c r="O61" t="inlineStr">
        <is>
          <t>百分比分母為同一課程類別欄總數；參照期為10月。</t>
        </is>
      </c>
    </row>
    <row r="62">
      <c r="A62" s="15" t="inlineStr">
        <is>
          <t>EDB-S6-2022</t>
        </is>
      </c>
      <c r="B62" t="inlineStr">
        <is>
          <t>2022 Secondary 6 Students’ Pathway Survey</t>
        </is>
      </c>
      <c r="C62" t="inlineStr">
        <is>
          <t>2.3</t>
        </is>
      </c>
      <c r="D62" t="inlineStr">
        <is>
          <t>14</t>
        </is>
      </c>
      <c r="E62" t="inlineStr">
        <is>
          <t>19</t>
        </is>
      </c>
      <c r="F62" t="inlineStr">
        <is>
          <t>2022-10</t>
        </is>
      </c>
      <c r="I62" t="inlineStr">
        <is>
          <t>POSTSECONDARY</t>
        </is>
      </c>
      <c r="J62" t="inlineStr">
        <is>
          <t>澳洲</t>
        </is>
      </c>
      <c r="K62" t="inlineStr">
        <is>
          <t>100</t>
        </is>
      </c>
      <c r="L62" t="inlineStr">
        <is>
          <t>17.3</t>
        </is>
      </c>
      <c r="M62" t="inlineStr">
        <is>
          <t>578</t>
        </is>
      </c>
      <c r="N62" t="inlineStr">
        <is>
          <t>reported</t>
        </is>
      </c>
      <c r="O62" t="inlineStr">
        <is>
          <t>百分比分母為同一課程類別欄總數；參照期為10月。</t>
        </is>
      </c>
    </row>
    <row r="63">
      <c r="A63" s="15" t="inlineStr">
        <is>
          <t>EDB-S6-2022</t>
        </is>
      </c>
      <c r="B63" t="inlineStr">
        <is>
          <t>2022 Secondary 6 Students’ Pathway Survey</t>
        </is>
      </c>
      <c r="C63" t="inlineStr">
        <is>
          <t>2.3</t>
        </is>
      </c>
      <c r="D63" t="inlineStr">
        <is>
          <t>14</t>
        </is>
      </c>
      <c r="E63" t="inlineStr">
        <is>
          <t>19</t>
        </is>
      </c>
      <c r="F63" t="inlineStr">
        <is>
          <t>2022-10</t>
        </is>
      </c>
      <c r="I63" t="inlineStr">
        <is>
          <t>POSTSECONDARY</t>
        </is>
      </c>
      <c r="J63" t="inlineStr">
        <is>
          <t>總數</t>
        </is>
      </c>
      <c r="K63" t="inlineStr">
        <is>
          <t>578</t>
        </is>
      </c>
      <c r="L63" t="inlineStr">
        <is>
          <t>100.0</t>
        </is>
      </c>
      <c r="M63" t="inlineStr">
        <is>
          <t>578</t>
        </is>
      </c>
      <c r="N63" t="inlineStr">
        <is>
          <t>reported</t>
        </is>
      </c>
      <c r="O63" t="inlineStr">
        <is>
          <t>EDB原表總數行；按課程類別列合計。</t>
        </is>
      </c>
    </row>
    <row r="64">
      <c r="A64" s="15" t="inlineStr">
        <is>
          <t>EDB-S6-2022</t>
        </is>
      </c>
      <c r="B64" t="inlineStr">
        <is>
          <t>2022 Secondary 6 Students’ Pathway Survey</t>
        </is>
      </c>
      <c r="C64" t="inlineStr">
        <is>
          <t>2.3</t>
        </is>
      </c>
      <c r="D64" t="inlineStr">
        <is>
          <t>14</t>
        </is>
      </c>
      <c r="E64" t="inlineStr">
        <is>
          <t>19</t>
        </is>
      </c>
      <c r="F64" t="inlineStr">
        <is>
          <t>2022-10</t>
        </is>
      </c>
      <c r="I64" t="inlineStr">
        <is>
          <t>POSTSECONDARY</t>
        </is>
      </c>
      <c r="J64" t="inlineStr">
        <is>
          <t>美國</t>
        </is>
      </c>
      <c r="K64" t="inlineStr">
        <is>
          <t>26</t>
        </is>
      </c>
      <c r="L64" t="inlineStr">
        <is>
          <t>4.5</t>
        </is>
      </c>
      <c r="M64" t="inlineStr">
        <is>
          <t>578</t>
        </is>
      </c>
      <c r="N64" t="inlineStr">
        <is>
          <t>reported</t>
        </is>
      </c>
      <c r="O64" t="inlineStr">
        <is>
          <t>百分比分母為同一課程類別欄總數；參照期為10月。</t>
        </is>
      </c>
    </row>
    <row r="65">
      <c r="A65" s="15" t="inlineStr">
        <is>
          <t>EDB-S6-2022</t>
        </is>
      </c>
      <c r="B65" t="inlineStr">
        <is>
          <t>2022 Secondary 6 Students’ Pathway Survey</t>
        </is>
      </c>
      <c r="C65" t="inlineStr">
        <is>
          <t>2.3</t>
        </is>
      </c>
      <c r="D65" t="inlineStr">
        <is>
          <t>14</t>
        </is>
      </c>
      <c r="E65" t="inlineStr">
        <is>
          <t>19</t>
        </is>
      </c>
      <c r="F65" t="inlineStr">
        <is>
          <t>2022-10</t>
        </is>
      </c>
      <c r="I65" t="inlineStr">
        <is>
          <t>POSTSECONDARY</t>
        </is>
      </c>
      <c r="J65" t="inlineStr">
        <is>
          <t>英國</t>
        </is>
      </c>
      <c r="K65" t="inlineStr">
        <is>
          <t>173</t>
        </is>
      </c>
      <c r="L65" t="inlineStr">
        <is>
          <t>29.9</t>
        </is>
      </c>
      <c r="M65" t="inlineStr">
        <is>
          <t>578</t>
        </is>
      </c>
      <c r="N65" t="inlineStr">
        <is>
          <t>reported</t>
        </is>
      </c>
      <c r="O65" t="inlineStr">
        <is>
          <t>百分比分母為同一課程類別欄總數；參照期為10月。</t>
        </is>
      </c>
    </row>
    <row r="66">
      <c r="A66" s="15" t="inlineStr">
        <is>
          <t>EDB-S6-2023</t>
        </is>
      </c>
      <c r="B66" t="inlineStr">
        <is>
          <t>2023 Secondary 6 Students’ Pathway Survey</t>
        </is>
      </c>
      <c r="C66" t="inlineStr">
        <is>
          <t>2.3</t>
        </is>
      </c>
      <c r="D66" t="inlineStr">
        <is>
          <t>14</t>
        </is>
      </c>
      <c r="E66" t="inlineStr">
        <is>
          <t>19</t>
        </is>
      </c>
      <c r="F66" t="inlineStr">
        <is>
          <t>2023-10</t>
        </is>
      </c>
      <c r="I66" t="inlineStr">
        <is>
          <t>ALL</t>
        </is>
      </c>
      <c r="J66" t="inlineStr">
        <is>
          <t>中國內地</t>
        </is>
      </c>
      <c r="K66" t="inlineStr">
        <is>
          <t>1431</t>
        </is>
      </c>
      <c r="L66" t="inlineStr">
        <is>
          <t>39.7</t>
        </is>
      </c>
      <c r="M66" t="inlineStr">
        <is>
          <t>3609</t>
        </is>
      </c>
      <c r="N66" t="inlineStr">
        <is>
          <t>reported</t>
        </is>
      </c>
      <c r="O66" t="inlineStr">
        <is>
          <t>百分比分母為同一課程類別欄總數；參照期為10月。</t>
        </is>
      </c>
    </row>
    <row r="67">
      <c r="A67" s="15" t="inlineStr">
        <is>
          <t>EDB-S6-2023</t>
        </is>
      </c>
      <c r="B67" t="inlineStr">
        <is>
          <t>2023 Secondary 6 Students’ Pathway Survey</t>
        </is>
      </c>
      <c r="C67" t="inlineStr">
        <is>
          <t>2.3</t>
        </is>
      </c>
      <c r="D67" t="inlineStr">
        <is>
          <t>14</t>
        </is>
      </c>
      <c r="E67" t="inlineStr">
        <is>
          <t>19</t>
        </is>
      </c>
      <c r="F67" t="inlineStr">
        <is>
          <t>2023-10</t>
        </is>
      </c>
      <c r="I67" t="inlineStr">
        <is>
          <t>ALL</t>
        </is>
      </c>
      <c r="J67" t="inlineStr">
        <is>
          <t>其他</t>
        </is>
      </c>
      <c r="K67" t="inlineStr">
        <is>
          <t>219</t>
        </is>
      </c>
      <c r="L67" t="inlineStr">
        <is>
          <t>6.1</t>
        </is>
      </c>
      <c r="M67" t="inlineStr">
        <is>
          <t>3609</t>
        </is>
      </c>
      <c r="N67" t="inlineStr">
        <is>
          <t>reported</t>
        </is>
      </c>
      <c r="O67" t="inlineStr">
        <is>
          <t>百分比分母為同一課程類別欄總數；參照期為10月。</t>
        </is>
      </c>
    </row>
    <row r="68">
      <c r="A68" s="15" t="inlineStr">
        <is>
          <t>EDB-S6-2023</t>
        </is>
      </c>
      <c r="B68" t="inlineStr">
        <is>
          <t>2023 Secondary 6 Students’ Pathway Survey</t>
        </is>
      </c>
      <c r="C68" t="inlineStr">
        <is>
          <t>2.3</t>
        </is>
      </c>
      <c r="D68" t="inlineStr">
        <is>
          <t>14</t>
        </is>
      </c>
      <c r="E68" t="inlineStr">
        <is>
          <t>19</t>
        </is>
      </c>
      <c r="F68" t="inlineStr">
        <is>
          <t>2023-10</t>
        </is>
      </c>
      <c r="I68" t="inlineStr">
        <is>
          <t>ALL</t>
        </is>
      </c>
      <c r="J68" t="inlineStr">
        <is>
          <t>加拿大</t>
        </is>
      </c>
      <c r="K68" t="inlineStr">
        <is>
          <t>232</t>
        </is>
      </c>
      <c r="L68" t="inlineStr">
        <is>
          <t>6.4</t>
        </is>
      </c>
      <c r="M68" t="inlineStr">
        <is>
          <t>3609</t>
        </is>
      </c>
      <c r="N68" t="inlineStr">
        <is>
          <t>reported</t>
        </is>
      </c>
      <c r="O68" t="inlineStr">
        <is>
          <t>百分比分母為同一課程類別欄總數；參照期為10月。</t>
        </is>
      </c>
    </row>
    <row r="69">
      <c r="A69" s="15" t="inlineStr">
        <is>
          <t>EDB-S6-2023</t>
        </is>
      </c>
      <c r="B69" t="inlineStr">
        <is>
          <t>2023 Secondary 6 Students’ Pathway Survey</t>
        </is>
      </c>
      <c r="C69" t="inlineStr">
        <is>
          <t>2.3</t>
        </is>
      </c>
      <c r="D69" t="inlineStr">
        <is>
          <t>14</t>
        </is>
      </c>
      <c r="E69" t="inlineStr">
        <is>
          <t>19</t>
        </is>
      </c>
      <c r="F69" t="inlineStr">
        <is>
          <t>2023-10</t>
        </is>
      </c>
      <c r="I69" t="inlineStr">
        <is>
          <t>ALL</t>
        </is>
      </c>
      <c r="J69" t="inlineStr">
        <is>
          <t>台灣</t>
        </is>
      </c>
      <c r="K69" t="inlineStr">
        <is>
          <t>435</t>
        </is>
      </c>
      <c r="L69" t="inlineStr">
        <is>
          <t>12.1</t>
        </is>
      </c>
      <c r="M69" t="inlineStr">
        <is>
          <t>3609</t>
        </is>
      </c>
      <c r="N69" t="inlineStr">
        <is>
          <t>reported</t>
        </is>
      </c>
      <c r="O69" t="inlineStr">
        <is>
          <t>百分比分母為同一課程類別欄總數；參照期為10月。</t>
        </is>
      </c>
    </row>
    <row r="70">
      <c r="A70" s="15" t="inlineStr">
        <is>
          <t>EDB-S6-2023</t>
        </is>
      </c>
      <c r="B70" t="inlineStr">
        <is>
          <t>2023 Secondary 6 Students’ Pathway Survey</t>
        </is>
      </c>
      <c r="C70" t="inlineStr">
        <is>
          <t>2.3</t>
        </is>
      </c>
      <c r="D70" t="inlineStr">
        <is>
          <t>14</t>
        </is>
      </c>
      <c r="E70" t="inlineStr">
        <is>
          <t>19</t>
        </is>
      </c>
      <c r="F70" t="inlineStr">
        <is>
          <t>2023-10</t>
        </is>
      </c>
      <c r="I70" t="inlineStr">
        <is>
          <t>ALL</t>
        </is>
      </c>
      <c r="J70" t="inlineStr">
        <is>
          <t>澳洲</t>
        </is>
      </c>
      <c r="K70" t="inlineStr">
        <is>
          <t>363</t>
        </is>
      </c>
      <c r="L70" t="inlineStr">
        <is>
          <t>10.1</t>
        </is>
      </c>
      <c r="M70" t="inlineStr">
        <is>
          <t>3609</t>
        </is>
      </c>
      <c r="N70" t="inlineStr">
        <is>
          <t>reported</t>
        </is>
      </c>
      <c r="O70" t="inlineStr">
        <is>
          <t>百分比分母為同一課程類別欄總數；參照期為10月。</t>
        </is>
      </c>
    </row>
    <row r="71">
      <c r="A71" s="15" t="inlineStr">
        <is>
          <t>EDB-S6-2023</t>
        </is>
      </c>
      <c r="B71" t="inlineStr">
        <is>
          <t>2023 Secondary 6 Students’ Pathway Survey</t>
        </is>
      </c>
      <c r="C71" t="inlineStr">
        <is>
          <t>2.3</t>
        </is>
      </c>
      <c r="D71" t="inlineStr">
        <is>
          <t>14</t>
        </is>
      </c>
      <c r="E71" t="inlineStr">
        <is>
          <t>19</t>
        </is>
      </c>
      <c r="F71" t="inlineStr">
        <is>
          <t>2023-10</t>
        </is>
      </c>
      <c r="I71" t="inlineStr">
        <is>
          <t>ALL</t>
        </is>
      </c>
      <c r="J71" t="inlineStr">
        <is>
          <t>總數</t>
        </is>
      </c>
      <c r="K71" t="inlineStr">
        <is>
          <t>3609</t>
        </is>
      </c>
      <c r="L71" t="inlineStr">
        <is>
          <t>100.0</t>
        </is>
      </c>
      <c r="M71" t="inlineStr">
        <is>
          <t>3609</t>
        </is>
      </c>
      <c r="N71" t="inlineStr">
        <is>
          <t>reported</t>
        </is>
      </c>
      <c r="O71" t="inlineStr">
        <is>
          <t>EDB原表總數行；按課程類別列合計。</t>
        </is>
      </c>
    </row>
    <row r="72">
      <c r="A72" s="15" t="inlineStr">
        <is>
          <t>EDB-S6-2023</t>
        </is>
      </c>
      <c r="B72" t="inlineStr">
        <is>
          <t>2023 Secondary 6 Students’ Pathway Survey</t>
        </is>
      </c>
      <c r="C72" t="inlineStr">
        <is>
          <t>2.3</t>
        </is>
      </c>
      <c r="D72" t="inlineStr">
        <is>
          <t>14</t>
        </is>
      </c>
      <c r="E72" t="inlineStr">
        <is>
          <t>19</t>
        </is>
      </c>
      <c r="F72" t="inlineStr">
        <is>
          <t>2023-10</t>
        </is>
      </c>
      <c r="I72" t="inlineStr">
        <is>
          <t>ALL</t>
        </is>
      </c>
      <c r="J72" t="inlineStr">
        <is>
          <t>美國</t>
        </is>
      </c>
      <c r="K72" t="inlineStr">
        <is>
          <t>87</t>
        </is>
      </c>
      <c r="L72" t="inlineStr">
        <is>
          <t>2.4</t>
        </is>
      </c>
      <c r="M72" t="inlineStr">
        <is>
          <t>3609</t>
        </is>
      </c>
      <c r="N72" t="inlineStr">
        <is>
          <t>reported</t>
        </is>
      </c>
      <c r="O72" t="inlineStr">
        <is>
          <t>百分比分母為同一課程類別欄總數；參照期為10月。</t>
        </is>
      </c>
    </row>
    <row r="73">
      <c r="A73" s="15" t="inlineStr">
        <is>
          <t>EDB-S6-2023</t>
        </is>
      </c>
      <c r="B73" t="inlineStr">
        <is>
          <t>2023 Secondary 6 Students’ Pathway Survey</t>
        </is>
      </c>
      <c r="C73" t="inlineStr">
        <is>
          <t>2.3</t>
        </is>
      </c>
      <c r="D73" t="inlineStr">
        <is>
          <t>14</t>
        </is>
      </c>
      <c r="E73" t="inlineStr">
        <is>
          <t>19</t>
        </is>
      </c>
      <c r="F73" t="inlineStr">
        <is>
          <t>2023-10</t>
        </is>
      </c>
      <c r="I73" t="inlineStr">
        <is>
          <t>ALL</t>
        </is>
      </c>
      <c r="J73" t="inlineStr">
        <is>
          <t>英國</t>
        </is>
      </c>
      <c r="K73" t="inlineStr">
        <is>
          <t>842</t>
        </is>
      </c>
      <c r="L73" t="inlineStr">
        <is>
          <t>23.3</t>
        </is>
      </c>
      <c r="M73" t="inlineStr">
        <is>
          <t>3609</t>
        </is>
      </c>
      <c r="N73" t="inlineStr">
        <is>
          <t>reported</t>
        </is>
      </c>
      <c r="O73" t="inlineStr">
        <is>
          <t>百分比分母為同一課程類別欄總數；參照期為10月。</t>
        </is>
      </c>
    </row>
    <row r="74">
      <c r="A74" s="15" t="inlineStr">
        <is>
          <t>EDB-S6-2023</t>
        </is>
      </c>
      <c r="B74" t="inlineStr">
        <is>
          <t>2023 Secondary 6 Students’ Pathway Survey</t>
        </is>
      </c>
      <c r="C74" t="inlineStr">
        <is>
          <t>2.3</t>
        </is>
      </c>
      <c r="D74" t="inlineStr">
        <is>
          <t>14</t>
        </is>
      </c>
      <c r="E74" t="inlineStr">
        <is>
          <t>19</t>
        </is>
      </c>
      <c r="F74" t="inlineStr">
        <is>
          <t>2023-10</t>
        </is>
      </c>
      <c r="I74" t="inlineStr">
        <is>
          <t>BACHELOR</t>
        </is>
      </c>
      <c r="J74" t="inlineStr">
        <is>
          <t>中國內地</t>
        </is>
      </c>
      <c r="K74" t="inlineStr">
        <is>
          <t>1278</t>
        </is>
      </c>
      <c r="L74" t="inlineStr">
        <is>
          <t>41.7</t>
        </is>
      </c>
      <c r="M74" t="inlineStr">
        <is>
          <t>3063</t>
        </is>
      </c>
      <c r="N74" t="inlineStr">
        <is>
          <t>reported</t>
        </is>
      </c>
      <c r="O74" t="inlineStr">
        <is>
          <t>百分比分母為同一課程類別欄總數；參照期為10月。</t>
        </is>
      </c>
    </row>
    <row r="75">
      <c r="A75" s="15" t="inlineStr">
        <is>
          <t>EDB-S6-2023</t>
        </is>
      </c>
      <c r="B75" t="inlineStr">
        <is>
          <t>2023 Secondary 6 Students’ Pathway Survey</t>
        </is>
      </c>
      <c r="C75" t="inlineStr">
        <is>
          <t>2.3</t>
        </is>
      </c>
      <c r="D75" t="inlineStr">
        <is>
          <t>14</t>
        </is>
      </c>
      <c r="E75" t="inlineStr">
        <is>
          <t>19</t>
        </is>
      </c>
      <c r="F75" t="inlineStr">
        <is>
          <t>2023-10</t>
        </is>
      </c>
      <c r="I75" t="inlineStr">
        <is>
          <t>BACHELOR</t>
        </is>
      </c>
      <c r="J75" t="inlineStr">
        <is>
          <t>其他</t>
        </is>
      </c>
      <c r="K75" t="inlineStr">
        <is>
          <t>138</t>
        </is>
      </c>
      <c r="L75" t="inlineStr">
        <is>
          <t>4.5</t>
        </is>
      </c>
      <c r="M75" t="inlineStr">
        <is>
          <t>3063</t>
        </is>
      </c>
      <c r="N75" t="inlineStr">
        <is>
          <t>reported</t>
        </is>
      </c>
      <c r="O75" t="inlineStr">
        <is>
          <t>百分比分母為同一課程類別欄總數；參照期為10月。</t>
        </is>
      </c>
    </row>
    <row r="76">
      <c r="A76" s="15" t="inlineStr">
        <is>
          <t>EDB-S6-2023</t>
        </is>
      </c>
      <c r="B76" t="inlineStr">
        <is>
          <t>2023 Secondary 6 Students’ Pathway Survey</t>
        </is>
      </c>
      <c r="C76" t="inlineStr">
        <is>
          <t>2.3</t>
        </is>
      </c>
      <c r="D76" t="inlineStr">
        <is>
          <t>14</t>
        </is>
      </c>
      <c r="E76" t="inlineStr">
        <is>
          <t>19</t>
        </is>
      </c>
      <c r="F76" t="inlineStr">
        <is>
          <t>2023-10</t>
        </is>
      </c>
      <c r="I76" t="inlineStr">
        <is>
          <t>BACHELOR</t>
        </is>
      </c>
      <c r="J76" t="inlineStr">
        <is>
          <t>加拿大</t>
        </is>
      </c>
      <c r="K76" t="inlineStr">
        <is>
          <t>146</t>
        </is>
      </c>
      <c r="L76" t="inlineStr">
        <is>
          <t>4.8</t>
        </is>
      </c>
      <c r="M76" t="inlineStr">
        <is>
          <t>3063</t>
        </is>
      </c>
      <c r="N76" t="inlineStr">
        <is>
          <t>reported</t>
        </is>
      </c>
      <c r="O76" t="inlineStr">
        <is>
          <t>百分比分母為同一課程類別欄總數；參照期為10月。</t>
        </is>
      </c>
    </row>
    <row r="77">
      <c r="A77" s="15" t="inlineStr">
        <is>
          <t>EDB-S6-2023</t>
        </is>
      </c>
      <c r="B77" t="inlineStr">
        <is>
          <t>2023 Secondary 6 Students’ Pathway Survey</t>
        </is>
      </c>
      <c r="C77" t="inlineStr">
        <is>
          <t>2.3</t>
        </is>
      </c>
      <c r="D77" t="inlineStr">
        <is>
          <t>14</t>
        </is>
      </c>
      <c r="E77" t="inlineStr">
        <is>
          <t>19</t>
        </is>
      </c>
      <c r="F77" t="inlineStr">
        <is>
          <t>2023-10</t>
        </is>
      </c>
      <c r="I77" t="inlineStr">
        <is>
          <t>BACHELOR</t>
        </is>
      </c>
      <c r="J77" t="inlineStr">
        <is>
          <t>台灣</t>
        </is>
      </c>
      <c r="K77" t="inlineStr">
        <is>
          <t>422</t>
        </is>
      </c>
      <c r="L77" t="inlineStr">
        <is>
          <t>13.8</t>
        </is>
      </c>
      <c r="M77" t="inlineStr">
        <is>
          <t>3063</t>
        </is>
      </c>
      <c r="N77" t="inlineStr">
        <is>
          <t>reported</t>
        </is>
      </c>
      <c r="O77" t="inlineStr">
        <is>
          <t>百分比分母為同一課程類別欄總數；參照期為10月。</t>
        </is>
      </c>
    </row>
    <row r="78">
      <c r="A78" s="15" t="inlineStr">
        <is>
          <t>EDB-S6-2023</t>
        </is>
      </c>
      <c r="B78" t="inlineStr">
        <is>
          <t>2023 Secondary 6 Students’ Pathway Survey</t>
        </is>
      </c>
      <c r="C78" t="inlineStr">
        <is>
          <t>2.3</t>
        </is>
      </c>
      <c r="D78" t="inlineStr">
        <is>
          <t>14</t>
        </is>
      </c>
      <c r="E78" t="inlineStr">
        <is>
          <t>19</t>
        </is>
      </c>
      <c r="F78" t="inlineStr">
        <is>
          <t>2023-10</t>
        </is>
      </c>
      <c r="I78" t="inlineStr">
        <is>
          <t>BACHELOR</t>
        </is>
      </c>
      <c r="J78" t="inlineStr">
        <is>
          <t>澳洲</t>
        </is>
      </c>
      <c r="K78" t="inlineStr">
        <is>
          <t>287</t>
        </is>
      </c>
      <c r="L78" t="inlineStr">
        <is>
          <t>9.4</t>
        </is>
      </c>
      <c r="M78" t="inlineStr">
        <is>
          <t>3063</t>
        </is>
      </c>
      <c r="N78" t="inlineStr">
        <is>
          <t>reported</t>
        </is>
      </c>
      <c r="O78" t="inlineStr">
        <is>
          <t>百分比分母為同一課程類別欄總數；參照期為10月。</t>
        </is>
      </c>
    </row>
    <row r="79">
      <c r="A79" s="15" t="inlineStr">
        <is>
          <t>EDB-S6-2023</t>
        </is>
      </c>
      <c r="B79" t="inlineStr">
        <is>
          <t>2023 Secondary 6 Students’ Pathway Survey</t>
        </is>
      </c>
      <c r="C79" t="inlineStr">
        <is>
          <t>2.3</t>
        </is>
      </c>
      <c r="D79" t="inlineStr">
        <is>
          <t>14</t>
        </is>
      </c>
      <c r="E79" t="inlineStr">
        <is>
          <t>19</t>
        </is>
      </c>
      <c r="F79" t="inlineStr">
        <is>
          <t>2023-10</t>
        </is>
      </c>
      <c r="I79" t="inlineStr">
        <is>
          <t>BACHELOR</t>
        </is>
      </c>
      <c r="J79" t="inlineStr">
        <is>
          <t>總數</t>
        </is>
      </c>
      <c r="K79" t="inlineStr">
        <is>
          <t>3063</t>
        </is>
      </c>
      <c r="L79" t="inlineStr">
        <is>
          <t>100.0</t>
        </is>
      </c>
      <c r="M79" t="inlineStr">
        <is>
          <t>3063</t>
        </is>
      </c>
      <c r="N79" t="inlineStr">
        <is>
          <t>reported</t>
        </is>
      </c>
      <c r="O79" t="inlineStr">
        <is>
          <t>EDB原表總數行；按課程類別列合計。</t>
        </is>
      </c>
    </row>
    <row r="80">
      <c r="A80" s="15" t="inlineStr">
        <is>
          <t>EDB-S6-2023</t>
        </is>
      </c>
      <c r="B80" t="inlineStr">
        <is>
          <t>2023 Secondary 6 Students’ Pathway Survey</t>
        </is>
      </c>
      <c r="C80" t="inlineStr">
        <is>
          <t>2.3</t>
        </is>
      </c>
      <c r="D80" t="inlineStr">
        <is>
          <t>14</t>
        </is>
      </c>
      <c r="E80" t="inlineStr">
        <is>
          <t>19</t>
        </is>
      </c>
      <c r="F80" t="inlineStr">
        <is>
          <t>2023-10</t>
        </is>
      </c>
      <c r="I80" t="inlineStr">
        <is>
          <t>BACHELOR</t>
        </is>
      </c>
      <c r="J80" t="inlineStr">
        <is>
          <t>美國</t>
        </is>
      </c>
      <c r="K80" t="inlineStr">
        <is>
          <t>70</t>
        </is>
      </c>
      <c r="L80" t="inlineStr">
        <is>
          <t>2.3</t>
        </is>
      </c>
      <c r="M80" t="inlineStr">
        <is>
          <t>3063</t>
        </is>
      </c>
      <c r="N80" t="inlineStr">
        <is>
          <t>reported</t>
        </is>
      </c>
      <c r="O80" t="inlineStr">
        <is>
          <t>百分比分母為同一課程類別欄總數；參照期為10月。</t>
        </is>
      </c>
    </row>
    <row r="81">
      <c r="A81" s="15" t="inlineStr">
        <is>
          <t>EDB-S6-2023</t>
        </is>
      </c>
      <c r="B81" t="inlineStr">
        <is>
          <t>2023 Secondary 6 Students’ Pathway Survey</t>
        </is>
      </c>
      <c r="C81" t="inlineStr">
        <is>
          <t>2.3</t>
        </is>
      </c>
      <c r="D81" t="inlineStr">
        <is>
          <t>14</t>
        </is>
      </c>
      <c r="E81" t="inlineStr">
        <is>
          <t>19</t>
        </is>
      </c>
      <c r="F81" t="inlineStr">
        <is>
          <t>2023-10</t>
        </is>
      </c>
      <c r="I81" t="inlineStr">
        <is>
          <t>BACHELOR</t>
        </is>
      </c>
      <c r="J81" t="inlineStr">
        <is>
          <t>英國</t>
        </is>
      </c>
      <c r="K81" t="inlineStr">
        <is>
          <t>722</t>
        </is>
      </c>
      <c r="L81" t="inlineStr">
        <is>
          <t>23.6</t>
        </is>
      </c>
      <c r="M81" t="inlineStr">
        <is>
          <t>3063</t>
        </is>
      </c>
      <c r="N81" t="inlineStr">
        <is>
          <t>reported</t>
        </is>
      </c>
      <c r="O81" t="inlineStr">
        <is>
          <t>百分比分母為同一課程類別欄總數；參照期為10月。</t>
        </is>
      </c>
    </row>
    <row r="82">
      <c r="A82" s="15" t="inlineStr">
        <is>
          <t>EDB-S6-2023</t>
        </is>
      </c>
      <c r="B82" t="inlineStr">
        <is>
          <t>2023 Secondary 6 Students’ Pathway Survey</t>
        </is>
      </c>
      <c r="C82" t="inlineStr">
        <is>
          <t>2.3</t>
        </is>
      </c>
      <c r="D82" t="inlineStr">
        <is>
          <t>14</t>
        </is>
      </c>
      <c r="E82" t="inlineStr">
        <is>
          <t>19</t>
        </is>
      </c>
      <c r="F82" t="inlineStr">
        <is>
          <t>2023-10</t>
        </is>
      </c>
      <c r="I82" t="inlineStr">
        <is>
          <t>OTHER_FULL_TIME</t>
        </is>
      </c>
      <c r="J82" t="inlineStr">
        <is>
          <t>中國內地</t>
        </is>
      </c>
      <c r="K82" t="inlineStr">
        <is>
          <t>77</t>
        </is>
      </c>
      <c r="L82" t="inlineStr">
        <is>
          <t>36.3</t>
        </is>
      </c>
      <c r="M82" t="inlineStr">
        <is>
          <t>212</t>
        </is>
      </c>
      <c r="N82" t="inlineStr">
        <is>
          <t>reported</t>
        </is>
      </c>
      <c r="O82" t="inlineStr">
        <is>
          <t>百分比分母為同一課程類別欄總數；參照期為10月。</t>
        </is>
      </c>
    </row>
    <row r="83">
      <c r="A83" s="15" t="inlineStr">
        <is>
          <t>EDB-S6-2023</t>
        </is>
      </c>
      <c r="B83" t="inlineStr">
        <is>
          <t>2023 Secondary 6 Students’ Pathway Survey</t>
        </is>
      </c>
      <c r="C83" t="inlineStr">
        <is>
          <t>2.3</t>
        </is>
      </c>
      <c r="D83" t="inlineStr">
        <is>
          <t>14</t>
        </is>
      </c>
      <c r="E83" t="inlineStr">
        <is>
          <t>19</t>
        </is>
      </c>
      <c r="F83" t="inlineStr">
        <is>
          <t>2023-10</t>
        </is>
      </c>
      <c r="I83" t="inlineStr">
        <is>
          <t>OTHER_FULL_TIME</t>
        </is>
      </c>
      <c r="J83" t="inlineStr">
        <is>
          <t>其他</t>
        </is>
      </c>
      <c r="K83" t="inlineStr">
        <is>
          <t>63</t>
        </is>
      </c>
      <c r="L83" t="inlineStr">
        <is>
          <t>29.7</t>
        </is>
      </c>
      <c r="M83" t="inlineStr">
        <is>
          <t>212</t>
        </is>
      </c>
      <c r="N83" t="inlineStr">
        <is>
          <t>reported</t>
        </is>
      </c>
      <c r="O83" t="inlineStr">
        <is>
          <t>百分比分母為同一課程類別欄總數；參照期為10月。</t>
        </is>
      </c>
    </row>
    <row r="84">
      <c r="A84" s="15" t="inlineStr">
        <is>
          <t>EDB-S6-2023</t>
        </is>
      </c>
      <c r="B84" t="inlineStr">
        <is>
          <t>2023 Secondary 6 Students’ Pathway Survey</t>
        </is>
      </c>
      <c r="C84" t="inlineStr">
        <is>
          <t>2.3</t>
        </is>
      </c>
      <c r="D84" t="inlineStr">
        <is>
          <t>14</t>
        </is>
      </c>
      <c r="E84" t="inlineStr">
        <is>
          <t>19</t>
        </is>
      </c>
      <c r="F84" t="inlineStr">
        <is>
          <t>2023-10</t>
        </is>
      </c>
      <c r="I84" t="inlineStr">
        <is>
          <t>OTHER_FULL_TIME</t>
        </is>
      </c>
      <c r="J84" t="inlineStr">
        <is>
          <t>加拿大</t>
        </is>
      </c>
      <c r="K84" t="inlineStr">
        <is>
          <t>20</t>
        </is>
      </c>
      <c r="L84" t="inlineStr">
        <is>
          <t>9.4</t>
        </is>
      </c>
      <c r="M84" t="inlineStr">
        <is>
          <t>212</t>
        </is>
      </c>
      <c r="N84" t="inlineStr">
        <is>
          <t>reported</t>
        </is>
      </c>
      <c r="O84" t="inlineStr">
        <is>
          <t>百分比分母為同一課程類別欄總數；參照期為10月。</t>
        </is>
      </c>
    </row>
    <row r="85">
      <c r="A85" s="15" t="inlineStr">
        <is>
          <t>EDB-S6-2023</t>
        </is>
      </c>
      <c r="B85" t="inlineStr">
        <is>
          <t>2023 Secondary 6 Students’ Pathway Survey</t>
        </is>
      </c>
      <c r="C85" t="inlineStr">
        <is>
          <t>2.3</t>
        </is>
      </c>
      <c r="D85" t="inlineStr">
        <is>
          <t>14</t>
        </is>
      </c>
      <c r="E85" t="inlineStr">
        <is>
          <t>19</t>
        </is>
      </c>
      <c r="F85" t="inlineStr">
        <is>
          <t>2023-10</t>
        </is>
      </c>
      <c r="I85" t="inlineStr">
        <is>
          <t>OTHER_FULL_TIME</t>
        </is>
      </c>
      <c r="J85" t="inlineStr">
        <is>
          <t>台灣</t>
        </is>
      </c>
      <c r="K85" t="inlineStr">
        <is>
          <t>5</t>
        </is>
      </c>
      <c r="L85" t="inlineStr">
        <is>
          <t>2.4</t>
        </is>
      </c>
      <c r="M85" t="inlineStr">
        <is>
          <t>212</t>
        </is>
      </c>
      <c r="N85" t="inlineStr">
        <is>
          <t>reported</t>
        </is>
      </c>
      <c r="O85" t="inlineStr">
        <is>
          <t>百分比分母為同一課程類別欄總數；參照期為10月。</t>
        </is>
      </c>
    </row>
    <row r="86">
      <c r="A86" s="15" t="inlineStr">
        <is>
          <t>EDB-S6-2023</t>
        </is>
      </c>
      <c r="B86" t="inlineStr">
        <is>
          <t>2023 Secondary 6 Students’ Pathway Survey</t>
        </is>
      </c>
      <c r="C86" t="inlineStr">
        <is>
          <t>2.3</t>
        </is>
      </c>
      <c r="D86" t="inlineStr">
        <is>
          <t>14</t>
        </is>
      </c>
      <c r="E86" t="inlineStr">
        <is>
          <t>19</t>
        </is>
      </c>
      <c r="F86" t="inlineStr">
        <is>
          <t>2023-10</t>
        </is>
      </c>
      <c r="I86" t="inlineStr">
        <is>
          <t>OTHER_FULL_TIME</t>
        </is>
      </c>
      <c r="J86" t="inlineStr">
        <is>
          <t>澳洲</t>
        </is>
      </c>
      <c r="K86" t="inlineStr">
        <is>
          <t>21</t>
        </is>
      </c>
      <c r="L86" t="inlineStr">
        <is>
          <t>9.9</t>
        </is>
      </c>
      <c r="M86" t="inlineStr">
        <is>
          <t>212</t>
        </is>
      </c>
      <c r="N86" t="inlineStr">
        <is>
          <t>reported</t>
        </is>
      </c>
      <c r="O86" t="inlineStr">
        <is>
          <t>百分比分母為同一課程類別欄總數；參照期為10月。</t>
        </is>
      </c>
    </row>
    <row r="87">
      <c r="A87" s="15" t="inlineStr">
        <is>
          <t>EDB-S6-2023</t>
        </is>
      </c>
      <c r="B87" t="inlineStr">
        <is>
          <t>2023 Secondary 6 Students’ Pathway Survey</t>
        </is>
      </c>
      <c r="C87" t="inlineStr">
        <is>
          <t>2.3</t>
        </is>
      </c>
      <c r="D87" t="inlineStr">
        <is>
          <t>14</t>
        </is>
      </c>
      <c r="E87" t="inlineStr">
        <is>
          <t>19</t>
        </is>
      </c>
      <c r="F87" t="inlineStr">
        <is>
          <t>2023-10</t>
        </is>
      </c>
      <c r="I87" t="inlineStr">
        <is>
          <t>OTHER_FULL_TIME</t>
        </is>
      </c>
      <c r="J87" t="inlineStr">
        <is>
          <t>總數</t>
        </is>
      </c>
      <c r="K87" t="inlineStr">
        <is>
          <t>212</t>
        </is>
      </c>
      <c r="L87" t="inlineStr">
        <is>
          <t>100.0</t>
        </is>
      </c>
      <c r="M87" t="inlineStr">
        <is>
          <t>212</t>
        </is>
      </c>
      <c r="N87" t="inlineStr">
        <is>
          <t>reported</t>
        </is>
      </c>
      <c r="O87" t="inlineStr">
        <is>
          <t>EDB原表總數行；按課程類別列合計。</t>
        </is>
      </c>
    </row>
    <row r="88">
      <c r="A88" s="15" t="inlineStr">
        <is>
          <t>EDB-S6-2023</t>
        </is>
      </c>
      <c r="B88" t="inlineStr">
        <is>
          <t>2023 Secondary 6 Students’ Pathway Survey</t>
        </is>
      </c>
      <c r="C88" t="inlineStr">
        <is>
          <t>2.3</t>
        </is>
      </c>
      <c r="D88" t="inlineStr">
        <is>
          <t>14</t>
        </is>
      </c>
      <c r="E88" t="inlineStr">
        <is>
          <t>19</t>
        </is>
      </c>
      <c r="F88" t="inlineStr">
        <is>
          <t>2023-10</t>
        </is>
      </c>
      <c r="I88" t="inlineStr">
        <is>
          <t>OTHER_FULL_TIME</t>
        </is>
      </c>
      <c r="J88" t="inlineStr">
        <is>
          <t>美國</t>
        </is>
      </c>
      <c r="K88" t="inlineStr">
        <is>
          <t>4</t>
        </is>
      </c>
      <c r="L88" t="inlineStr">
        <is>
          <t>1.9</t>
        </is>
      </c>
      <c r="M88" t="inlineStr">
        <is>
          <t>212</t>
        </is>
      </c>
      <c r="N88" t="inlineStr">
        <is>
          <t>reported</t>
        </is>
      </c>
      <c r="O88" t="inlineStr">
        <is>
          <t>百分比分母為同一課程類別欄總數；參照期為10月。</t>
        </is>
      </c>
    </row>
    <row r="89">
      <c r="A89" s="15" t="inlineStr">
        <is>
          <t>EDB-S6-2023</t>
        </is>
      </c>
      <c r="B89" t="inlineStr">
        <is>
          <t>2023 Secondary 6 Students’ Pathway Survey</t>
        </is>
      </c>
      <c r="C89" t="inlineStr">
        <is>
          <t>2.3</t>
        </is>
      </c>
      <c r="D89" t="inlineStr">
        <is>
          <t>14</t>
        </is>
      </c>
      <c r="E89" t="inlineStr">
        <is>
          <t>19</t>
        </is>
      </c>
      <c r="F89" t="inlineStr">
        <is>
          <t>2023-10</t>
        </is>
      </c>
      <c r="I89" t="inlineStr">
        <is>
          <t>OTHER_FULL_TIME</t>
        </is>
      </c>
      <c r="J89" t="inlineStr">
        <is>
          <t>英國</t>
        </is>
      </c>
      <c r="K89" t="inlineStr">
        <is>
          <t>22</t>
        </is>
      </c>
      <c r="L89" t="inlineStr">
        <is>
          <t>10.4</t>
        </is>
      </c>
      <c r="M89" t="inlineStr">
        <is>
          <t>212</t>
        </is>
      </c>
      <c r="N89" t="inlineStr">
        <is>
          <t>reported</t>
        </is>
      </c>
      <c r="O89" t="inlineStr">
        <is>
          <t>百分比分母為同一課程類別欄總數；參照期為10月。</t>
        </is>
      </c>
    </row>
    <row r="90">
      <c r="A90" s="15" t="inlineStr">
        <is>
          <t>EDB-S6-2023</t>
        </is>
      </c>
      <c r="B90" t="inlineStr">
        <is>
          <t>2023 Secondary 6 Students’ Pathway Survey</t>
        </is>
      </c>
      <c r="C90" t="inlineStr">
        <is>
          <t>2.3</t>
        </is>
      </c>
      <c r="D90" t="inlineStr">
        <is>
          <t>14</t>
        </is>
      </c>
      <c r="E90" t="inlineStr">
        <is>
          <t>19</t>
        </is>
      </c>
      <c r="F90" t="inlineStr">
        <is>
          <t>2023-10</t>
        </is>
      </c>
      <c r="I90" t="inlineStr">
        <is>
          <t>POSTSECONDARY</t>
        </is>
      </c>
      <c r="J90" t="inlineStr">
        <is>
          <t>中國內地</t>
        </is>
      </c>
      <c r="K90" t="inlineStr">
        <is>
          <t>76</t>
        </is>
      </c>
      <c r="L90" t="inlineStr">
        <is>
          <t>22.8</t>
        </is>
      </c>
      <c r="M90" t="inlineStr">
        <is>
          <t>334</t>
        </is>
      </c>
      <c r="N90" t="inlineStr">
        <is>
          <t>reported</t>
        </is>
      </c>
      <c r="O90" t="inlineStr">
        <is>
          <t>百分比分母為同一課程類別欄總數；參照期為10月。</t>
        </is>
      </c>
    </row>
    <row r="91">
      <c r="A91" s="15" t="inlineStr">
        <is>
          <t>EDB-S6-2023</t>
        </is>
      </c>
      <c r="B91" t="inlineStr">
        <is>
          <t>2023 Secondary 6 Students’ Pathway Survey</t>
        </is>
      </c>
      <c r="C91" t="inlineStr">
        <is>
          <t>2.3</t>
        </is>
      </c>
      <c r="D91" t="inlineStr">
        <is>
          <t>14</t>
        </is>
      </c>
      <c r="E91" t="inlineStr">
        <is>
          <t>19</t>
        </is>
      </c>
      <c r="F91" t="inlineStr">
        <is>
          <t>2023-10</t>
        </is>
      </c>
      <c r="I91" t="inlineStr">
        <is>
          <t>POSTSECONDARY</t>
        </is>
      </c>
      <c r="J91" t="inlineStr">
        <is>
          <t>其他</t>
        </is>
      </c>
      <c r="K91" t="inlineStr">
        <is>
          <t>18</t>
        </is>
      </c>
      <c r="L91" t="inlineStr">
        <is>
          <t>5.4</t>
        </is>
      </c>
      <c r="M91" t="inlineStr">
        <is>
          <t>334</t>
        </is>
      </c>
      <c r="N91" t="inlineStr">
        <is>
          <t>reported</t>
        </is>
      </c>
      <c r="O91" t="inlineStr">
        <is>
          <t>百分比分母為同一課程類別欄總數；參照期為10月。</t>
        </is>
      </c>
    </row>
    <row r="92">
      <c r="A92" s="15" t="inlineStr">
        <is>
          <t>EDB-S6-2023</t>
        </is>
      </c>
      <c r="B92" t="inlineStr">
        <is>
          <t>2023 Secondary 6 Students’ Pathway Survey</t>
        </is>
      </c>
      <c r="C92" t="inlineStr">
        <is>
          <t>2.3</t>
        </is>
      </c>
      <c r="D92" t="inlineStr">
        <is>
          <t>14</t>
        </is>
      </c>
      <c r="E92" t="inlineStr">
        <is>
          <t>19</t>
        </is>
      </c>
      <c r="F92" t="inlineStr">
        <is>
          <t>2023-10</t>
        </is>
      </c>
      <c r="I92" t="inlineStr">
        <is>
          <t>POSTSECONDARY</t>
        </is>
      </c>
      <c r="J92" t="inlineStr">
        <is>
          <t>加拿大</t>
        </is>
      </c>
      <c r="K92" t="inlineStr">
        <is>
          <t>66</t>
        </is>
      </c>
      <c r="L92" t="inlineStr">
        <is>
          <t>19.8</t>
        </is>
      </c>
      <c r="M92" t="inlineStr">
        <is>
          <t>334</t>
        </is>
      </c>
      <c r="N92" t="inlineStr">
        <is>
          <t>reported</t>
        </is>
      </c>
      <c r="O92" t="inlineStr">
        <is>
          <t>百分比分母為同一課程類別欄總數；參照期為10月。</t>
        </is>
      </c>
    </row>
    <row r="93">
      <c r="A93" s="15" t="inlineStr">
        <is>
          <t>EDB-S6-2023</t>
        </is>
      </c>
      <c r="B93" t="inlineStr">
        <is>
          <t>2023 Secondary 6 Students’ Pathway Survey</t>
        </is>
      </c>
      <c r="C93" t="inlineStr">
        <is>
          <t>2.3</t>
        </is>
      </c>
      <c r="D93" t="inlineStr">
        <is>
          <t>14</t>
        </is>
      </c>
      <c r="E93" t="inlineStr">
        <is>
          <t>19</t>
        </is>
      </c>
      <c r="F93" t="inlineStr">
        <is>
          <t>2023-10</t>
        </is>
      </c>
      <c r="I93" t="inlineStr">
        <is>
          <t>POSTSECONDARY</t>
        </is>
      </c>
      <c r="J93" t="inlineStr">
        <is>
          <t>台灣</t>
        </is>
      </c>
      <c r="K93" t="inlineStr">
        <is>
          <t>8</t>
        </is>
      </c>
      <c r="L93" t="inlineStr">
        <is>
          <t>2.4</t>
        </is>
      </c>
      <c r="M93" t="inlineStr">
        <is>
          <t>334</t>
        </is>
      </c>
      <c r="N93" t="inlineStr">
        <is>
          <t>reported</t>
        </is>
      </c>
      <c r="O93" t="inlineStr">
        <is>
          <t>百分比分母為同一課程類別欄總數；參照期為10月。</t>
        </is>
      </c>
    </row>
    <row r="94">
      <c r="A94" s="15" t="inlineStr">
        <is>
          <t>EDB-S6-2023</t>
        </is>
      </c>
      <c r="B94" t="inlineStr">
        <is>
          <t>2023 Secondary 6 Students’ Pathway Survey</t>
        </is>
      </c>
      <c r="C94" t="inlineStr">
        <is>
          <t>2.3</t>
        </is>
      </c>
      <c r="D94" t="inlineStr">
        <is>
          <t>14</t>
        </is>
      </c>
      <c r="E94" t="inlineStr">
        <is>
          <t>19</t>
        </is>
      </c>
      <c r="F94" t="inlineStr">
        <is>
          <t>2023-10</t>
        </is>
      </c>
      <c r="I94" t="inlineStr">
        <is>
          <t>POSTSECONDARY</t>
        </is>
      </c>
      <c r="J94" t="inlineStr">
        <is>
          <t>澳洲</t>
        </is>
      </c>
      <c r="K94" t="inlineStr">
        <is>
          <t>55</t>
        </is>
      </c>
      <c r="L94" t="inlineStr">
        <is>
          <t>16.5</t>
        </is>
      </c>
      <c r="M94" t="inlineStr">
        <is>
          <t>334</t>
        </is>
      </c>
      <c r="N94" t="inlineStr">
        <is>
          <t>reported</t>
        </is>
      </c>
      <c r="O94" t="inlineStr">
        <is>
          <t>百分比分母為同一課程類別欄總數；參照期為10月。</t>
        </is>
      </c>
    </row>
    <row r="95">
      <c r="A95" s="15" t="inlineStr">
        <is>
          <t>EDB-S6-2023</t>
        </is>
      </c>
      <c r="B95" t="inlineStr">
        <is>
          <t>2023 Secondary 6 Students’ Pathway Survey</t>
        </is>
      </c>
      <c r="C95" t="inlineStr">
        <is>
          <t>2.3</t>
        </is>
      </c>
      <c r="D95" t="inlineStr">
        <is>
          <t>14</t>
        </is>
      </c>
      <c r="E95" t="inlineStr">
        <is>
          <t>19</t>
        </is>
      </c>
      <c r="F95" t="inlineStr">
        <is>
          <t>2023-10</t>
        </is>
      </c>
      <c r="I95" t="inlineStr">
        <is>
          <t>POSTSECONDARY</t>
        </is>
      </c>
      <c r="J95" t="inlineStr">
        <is>
          <t>總數</t>
        </is>
      </c>
      <c r="K95" t="inlineStr">
        <is>
          <t>334</t>
        </is>
      </c>
      <c r="L95" t="inlineStr">
        <is>
          <t>100.0</t>
        </is>
      </c>
      <c r="M95" t="inlineStr">
        <is>
          <t>334</t>
        </is>
      </c>
      <c r="N95" t="inlineStr">
        <is>
          <t>reported</t>
        </is>
      </c>
      <c r="O95" t="inlineStr">
        <is>
          <t>EDB原表總數行；按課程類別列合計。</t>
        </is>
      </c>
    </row>
    <row r="96">
      <c r="A96" s="15" t="inlineStr">
        <is>
          <t>EDB-S6-2023</t>
        </is>
      </c>
      <c r="B96" t="inlineStr">
        <is>
          <t>2023 Secondary 6 Students’ Pathway Survey</t>
        </is>
      </c>
      <c r="C96" t="inlineStr">
        <is>
          <t>2.3</t>
        </is>
      </c>
      <c r="D96" t="inlineStr">
        <is>
          <t>14</t>
        </is>
      </c>
      <c r="E96" t="inlineStr">
        <is>
          <t>19</t>
        </is>
      </c>
      <c r="F96" t="inlineStr">
        <is>
          <t>2023-10</t>
        </is>
      </c>
      <c r="I96" t="inlineStr">
        <is>
          <t>POSTSECONDARY</t>
        </is>
      </c>
      <c r="J96" t="inlineStr">
        <is>
          <t>美國</t>
        </is>
      </c>
      <c r="K96" t="inlineStr">
        <is>
          <t>13</t>
        </is>
      </c>
      <c r="L96" t="inlineStr">
        <is>
          <t>3.9</t>
        </is>
      </c>
      <c r="M96" t="inlineStr">
        <is>
          <t>334</t>
        </is>
      </c>
      <c r="N96" t="inlineStr">
        <is>
          <t>reported</t>
        </is>
      </c>
      <c r="O96" t="inlineStr">
        <is>
          <t>百分比分母為同一課程類別欄總數；參照期為10月。</t>
        </is>
      </c>
    </row>
    <row r="97">
      <c r="A97" s="15" t="inlineStr">
        <is>
          <t>EDB-S6-2023</t>
        </is>
      </c>
      <c r="B97" t="inlineStr">
        <is>
          <t>2023 Secondary 6 Students’ Pathway Survey</t>
        </is>
      </c>
      <c r="C97" t="inlineStr">
        <is>
          <t>2.3</t>
        </is>
      </c>
      <c r="D97" t="inlineStr">
        <is>
          <t>14</t>
        </is>
      </c>
      <c r="E97" t="inlineStr">
        <is>
          <t>19</t>
        </is>
      </c>
      <c r="F97" t="inlineStr">
        <is>
          <t>2023-10</t>
        </is>
      </c>
      <c r="I97" t="inlineStr">
        <is>
          <t>POSTSECONDARY</t>
        </is>
      </c>
      <c r="J97" t="inlineStr">
        <is>
          <t>英國</t>
        </is>
      </c>
      <c r="K97" t="inlineStr">
        <is>
          <t>98</t>
        </is>
      </c>
      <c r="L97" t="inlineStr">
        <is>
          <t>29.3</t>
        </is>
      </c>
      <c r="M97" t="inlineStr">
        <is>
          <t>334</t>
        </is>
      </c>
      <c r="N97" t="inlineStr">
        <is>
          <t>reported</t>
        </is>
      </c>
      <c r="O97" t="inlineStr">
        <is>
          <t>百分比分母為同一課程類別欄總數；參照期為10月。</t>
        </is>
      </c>
    </row>
    <row r="98">
      <c r="A98" s="15" t="inlineStr">
        <is>
          <t>EDB-S6-2024</t>
        </is>
      </c>
      <c r="B98" t="inlineStr">
        <is>
          <t>2024 Secondary 6 Students’ Pathway Survey</t>
        </is>
      </c>
      <c r="C98" t="inlineStr">
        <is>
          <t>2.3</t>
        </is>
      </c>
      <c r="D98" t="inlineStr">
        <is>
          <t>14</t>
        </is>
      </c>
      <c r="E98" t="inlineStr">
        <is>
          <t>19</t>
        </is>
      </c>
      <c r="F98" t="inlineStr">
        <is>
          <t>2024-10</t>
        </is>
      </c>
      <c r="I98" t="inlineStr">
        <is>
          <t>ALL</t>
        </is>
      </c>
      <c r="J98" t="inlineStr">
        <is>
          <t>中國內地</t>
        </is>
      </c>
      <c r="K98" t="inlineStr">
        <is>
          <t>1339</t>
        </is>
      </c>
      <c r="L98" t="inlineStr">
        <is>
          <t>43.7</t>
        </is>
      </c>
      <c r="M98" t="inlineStr">
        <is>
          <t>3061</t>
        </is>
      </c>
      <c r="N98" t="inlineStr">
        <is>
          <t>reported</t>
        </is>
      </c>
      <c r="O98" t="inlineStr">
        <is>
          <t>百分比分母為同一課程類別欄總數；參照期為10月。</t>
        </is>
      </c>
    </row>
    <row r="99">
      <c r="A99" s="15" t="inlineStr">
        <is>
          <t>EDB-S6-2024</t>
        </is>
      </c>
      <c r="B99" t="inlineStr">
        <is>
          <t>2024 Secondary 6 Students’ Pathway Survey</t>
        </is>
      </c>
      <c r="C99" t="inlineStr">
        <is>
          <t>2.3</t>
        </is>
      </c>
      <c r="D99" t="inlineStr">
        <is>
          <t>14</t>
        </is>
      </c>
      <c r="E99" t="inlineStr">
        <is>
          <t>19</t>
        </is>
      </c>
      <c r="F99" t="inlineStr">
        <is>
          <t>2024-10</t>
        </is>
      </c>
      <c r="I99" t="inlineStr">
        <is>
          <t>ALL</t>
        </is>
      </c>
      <c r="J99" t="inlineStr">
        <is>
          <t>其他</t>
        </is>
      </c>
      <c r="K99" t="inlineStr">
        <is>
          <t>212</t>
        </is>
      </c>
      <c r="L99" t="inlineStr">
        <is>
          <t>6.9</t>
        </is>
      </c>
      <c r="M99" t="inlineStr">
        <is>
          <t>3061</t>
        </is>
      </c>
      <c r="N99" t="inlineStr">
        <is>
          <t>reported</t>
        </is>
      </c>
      <c r="O99" t="inlineStr">
        <is>
          <t>百分比分母為同一課程類別欄總數；參照期為10月。</t>
        </is>
      </c>
    </row>
    <row r="100">
      <c r="A100" s="15" t="inlineStr">
        <is>
          <t>EDB-S6-2024</t>
        </is>
      </c>
      <c r="B100" t="inlineStr">
        <is>
          <t>2024 Secondary 6 Students’ Pathway Survey</t>
        </is>
      </c>
      <c r="C100" t="inlineStr">
        <is>
          <t>2.3</t>
        </is>
      </c>
      <c r="D100" t="inlineStr">
        <is>
          <t>14</t>
        </is>
      </c>
      <c r="E100" t="inlineStr">
        <is>
          <t>19</t>
        </is>
      </c>
      <c r="F100" t="inlineStr">
        <is>
          <t>2024-10</t>
        </is>
      </c>
      <c r="I100" t="inlineStr">
        <is>
          <t>ALL</t>
        </is>
      </c>
      <c r="J100" t="inlineStr">
        <is>
          <t>加拿大</t>
        </is>
      </c>
      <c r="K100" t="inlineStr">
        <is>
          <t>149</t>
        </is>
      </c>
      <c r="L100" t="inlineStr">
        <is>
          <t>4.9</t>
        </is>
      </c>
      <c r="M100" t="inlineStr">
        <is>
          <t>3061</t>
        </is>
      </c>
      <c r="N100" t="inlineStr">
        <is>
          <t>reported</t>
        </is>
      </c>
      <c r="O100" t="inlineStr">
        <is>
          <t>百分比分母為同一課程類別欄總數；參照期為10月。</t>
        </is>
      </c>
    </row>
    <row r="101">
      <c r="A101" s="15" t="inlineStr">
        <is>
          <t>EDB-S6-2024</t>
        </is>
      </c>
      <c r="B101" t="inlineStr">
        <is>
          <t>2024 Secondary 6 Students’ Pathway Survey</t>
        </is>
      </c>
      <c r="C101" t="inlineStr">
        <is>
          <t>2.3</t>
        </is>
      </c>
      <c r="D101" t="inlineStr">
        <is>
          <t>14</t>
        </is>
      </c>
      <c r="E101" t="inlineStr">
        <is>
          <t>19</t>
        </is>
      </c>
      <c r="F101" t="inlineStr">
        <is>
          <t>2024-10</t>
        </is>
      </c>
      <c r="I101" t="inlineStr">
        <is>
          <t>ALL</t>
        </is>
      </c>
      <c r="J101" t="inlineStr">
        <is>
          <t>台灣</t>
        </is>
      </c>
      <c r="K101" t="inlineStr">
        <is>
          <t>309</t>
        </is>
      </c>
      <c r="L101" t="inlineStr">
        <is>
          <t>10.1</t>
        </is>
      </c>
      <c r="M101" t="inlineStr">
        <is>
          <t>3061</t>
        </is>
      </c>
      <c r="N101" t="inlineStr">
        <is>
          <t>reported</t>
        </is>
      </c>
      <c r="O101" t="inlineStr">
        <is>
          <t>百分比分母為同一課程類別欄總數；參照期為10月。</t>
        </is>
      </c>
    </row>
    <row r="102">
      <c r="A102" s="15" t="inlineStr">
        <is>
          <t>EDB-S6-2024</t>
        </is>
      </c>
      <c r="B102" t="inlineStr">
        <is>
          <t>2024 Secondary 6 Students’ Pathway Survey</t>
        </is>
      </c>
      <c r="C102" t="inlineStr">
        <is>
          <t>2.3</t>
        </is>
      </c>
      <c r="D102" t="inlineStr">
        <is>
          <t>14</t>
        </is>
      </c>
      <c r="E102" t="inlineStr">
        <is>
          <t>19</t>
        </is>
      </c>
      <c r="F102" t="inlineStr">
        <is>
          <t>2024-10</t>
        </is>
      </c>
      <c r="I102" t="inlineStr">
        <is>
          <t>ALL</t>
        </is>
      </c>
      <c r="J102" t="inlineStr">
        <is>
          <t>澳洲</t>
        </is>
      </c>
      <c r="K102" t="inlineStr">
        <is>
          <t>338</t>
        </is>
      </c>
      <c r="L102" t="inlineStr">
        <is>
          <t>11.0</t>
        </is>
      </c>
      <c r="M102" t="inlineStr">
        <is>
          <t>3061</t>
        </is>
      </c>
      <c r="N102" t="inlineStr">
        <is>
          <t>reported</t>
        </is>
      </c>
      <c r="O102" t="inlineStr">
        <is>
          <t>百分比分母為同一課程類別欄總數；參照期為10月。</t>
        </is>
      </c>
    </row>
    <row r="103">
      <c r="A103" s="15" t="inlineStr">
        <is>
          <t>EDB-S6-2024</t>
        </is>
      </c>
      <c r="B103" t="inlineStr">
        <is>
          <t>2024 Secondary 6 Students’ Pathway Survey</t>
        </is>
      </c>
      <c r="C103" t="inlineStr">
        <is>
          <t>2.3</t>
        </is>
      </c>
      <c r="D103" t="inlineStr">
        <is>
          <t>14</t>
        </is>
      </c>
      <c r="E103" t="inlineStr">
        <is>
          <t>19</t>
        </is>
      </c>
      <c r="F103" t="inlineStr">
        <is>
          <t>2024-10</t>
        </is>
      </c>
      <c r="I103" t="inlineStr">
        <is>
          <t>ALL</t>
        </is>
      </c>
      <c r="J103" t="inlineStr">
        <is>
          <t>總數</t>
        </is>
      </c>
      <c r="K103" t="inlineStr">
        <is>
          <t>3061</t>
        </is>
      </c>
      <c r="L103" t="inlineStr">
        <is>
          <t>100.0</t>
        </is>
      </c>
      <c r="M103" t="inlineStr">
        <is>
          <t>3061</t>
        </is>
      </c>
      <c r="N103" t="inlineStr">
        <is>
          <t>reported</t>
        </is>
      </c>
      <c r="O103" t="inlineStr">
        <is>
          <t>EDB原表總數行；按課程類別列合計。</t>
        </is>
      </c>
    </row>
    <row r="104">
      <c r="A104" s="15" t="inlineStr">
        <is>
          <t>EDB-S6-2024</t>
        </is>
      </c>
      <c r="B104" t="inlineStr">
        <is>
          <t>2024 Secondary 6 Students’ Pathway Survey</t>
        </is>
      </c>
      <c r="C104" t="inlineStr">
        <is>
          <t>2.3</t>
        </is>
      </c>
      <c r="D104" t="inlineStr">
        <is>
          <t>14</t>
        </is>
      </c>
      <c r="E104" t="inlineStr">
        <is>
          <t>19</t>
        </is>
      </c>
      <c r="F104" t="inlineStr">
        <is>
          <t>2024-10</t>
        </is>
      </c>
      <c r="I104" t="inlineStr">
        <is>
          <t>ALL</t>
        </is>
      </c>
      <c r="J104" t="inlineStr">
        <is>
          <t>美國</t>
        </is>
      </c>
      <c r="K104" t="inlineStr">
        <is>
          <t>67</t>
        </is>
      </c>
      <c r="L104" t="inlineStr">
        <is>
          <t>2.2</t>
        </is>
      </c>
      <c r="M104" t="inlineStr">
        <is>
          <t>3061</t>
        </is>
      </c>
      <c r="N104" t="inlineStr">
        <is>
          <t>reported</t>
        </is>
      </c>
      <c r="O104" t="inlineStr">
        <is>
          <t>百分比分母為同一課程類別欄總數；參照期為10月。</t>
        </is>
      </c>
    </row>
    <row r="105">
      <c r="A105" s="15" t="inlineStr">
        <is>
          <t>EDB-S6-2024</t>
        </is>
      </c>
      <c r="B105" t="inlineStr">
        <is>
          <t>2024 Secondary 6 Students’ Pathway Survey</t>
        </is>
      </c>
      <c r="C105" t="inlineStr">
        <is>
          <t>2.3</t>
        </is>
      </c>
      <c r="D105" t="inlineStr">
        <is>
          <t>14</t>
        </is>
      </c>
      <c r="E105" t="inlineStr">
        <is>
          <t>19</t>
        </is>
      </c>
      <c r="F105" t="inlineStr">
        <is>
          <t>2024-10</t>
        </is>
      </c>
      <c r="I105" t="inlineStr">
        <is>
          <t>ALL</t>
        </is>
      </c>
      <c r="J105" t="inlineStr">
        <is>
          <t>英國</t>
        </is>
      </c>
      <c r="K105" t="inlineStr">
        <is>
          <t>647</t>
        </is>
      </c>
      <c r="L105" t="inlineStr">
        <is>
          <t>21.1</t>
        </is>
      </c>
      <c r="M105" t="inlineStr">
        <is>
          <t>3061</t>
        </is>
      </c>
      <c r="N105" t="inlineStr">
        <is>
          <t>reported</t>
        </is>
      </c>
      <c r="O105" t="inlineStr">
        <is>
          <t>百分比分母為同一課程類別欄總數；參照期為10月。</t>
        </is>
      </c>
    </row>
    <row r="106">
      <c r="A106" s="15" t="inlineStr">
        <is>
          <t>EDB-S6-2024</t>
        </is>
      </c>
      <c r="B106" t="inlineStr">
        <is>
          <t>2024 Secondary 6 Students’ Pathway Survey</t>
        </is>
      </c>
      <c r="C106" t="inlineStr">
        <is>
          <t>2.3</t>
        </is>
      </c>
      <c r="D106" t="inlineStr">
        <is>
          <t>14</t>
        </is>
      </c>
      <c r="E106" t="inlineStr">
        <is>
          <t>19</t>
        </is>
      </c>
      <c r="F106" t="inlineStr">
        <is>
          <t>2024-10</t>
        </is>
      </c>
      <c r="I106" t="inlineStr">
        <is>
          <t>BACHELOR</t>
        </is>
      </c>
      <c r="J106" t="inlineStr">
        <is>
          <t>中國內地</t>
        </is>
      </c>
      <c r="K106" t="inlineStr">
        <is>
          <t>1240</t>
        </is>
      </c>
      <c r="L106" t="inlineStr">
        <is>
          <t>46.3</t>
        </is>
      </c>
      <c r="M106" t="inlineStr">
        <is>
          <t>2676</t>
        </is>
      </c>
      <c r="N106" t="inlineStr">
        <is>
          <t>reported</t>
        </is>
      </c>
      <c r="O106" t="inlineStr">
        <is>
          <t>百分比分母為同一課程類別欄總數；參照期為10月。</t>
        </is>
      </c>
    </row>
    <row r="107">
      <c r="A107" s="15" t="inlineStr">
        <is>
          <t>EDB-S6-2024</t>
        </is>
      </c>
      <c r="B107" t="inlineStr">
        <is>
          <t>2024 Secondary 6 Students’ Pathway Survey</t>
        </is>
      </c>
      <c r="C107" t="inlineStr">
        <is>
          <t>2.3</t>
        </is>
      </c>
      <c r="D107" t="inlineStr">
        <is>
          <t>14</t>
        </is>
      </c>
      <c r="E107" t="inlineStr">
        <is>
          <t>19</t>
        </is>
      </c>
      <c r="F107" t="inlineStr">
        <is>
          <t>2024-10</t>
        </is>
      </c>
      <c r="I107" t="inlineStr">
        <is>
          <t>BACHELOR</t>
        </is>
      </c>
      <c r="J107" t="inlineStr">
        <is>
          <t>其他</t>
        </is>
      </c>
      <c r="K107" t="inlineStr">
        <is>
          <t>128</t>
        </is>
      </c>
      <c r="L107" t="inlineStr">
        <is>
          <t>4.8</t>
        </is>
      </c>
      <c r="M107" t="inlineStr">
        <is>
          <t>2676</t>
        </is>
      </c>
      <c r="N107" t="inlineStr">
        <is>
          <t>reported</t>
        </is>
      </c>
      <c r="O107" t="inlineStr">
        <is>
          <t>百分比分母為同一課程類別欄總數；參照期為10月。</t>
        </is>
      </c>
    </row>
    <row r="108">
      <c r="A108" s="15" t="inlineStr">
        <is>
          <t>EDB-S6-2024</t>
        </is>
      </c>
      <c r="B108" t="inlineStr">
        <is>
          <t>2024 Secondary 6 Students’ Pathway Survey</t>
        </is>
      </c>
      <c r="C108" t="inlineStr">
        <is>
          <t>2.3</t>
        </is>
      </c>
      <c r="D108" t="inlineStr">
        <is>
          <t>14</t>
        </is>
      </c>
      <c r="E108" t="inlineStr">
        <is>
          <t>19</t>
        </is>
      </c>
      <c r="F108" t="inlineStr">
        <is>
          <t>2024-10</t>
        </is>
      </c>
      <c r="I108" t="inlineStr">
        <is>
          <t>BACHELOR</t>
        </is>
      </c>
      <c r="J108" t="inlineStr">
        <is>
          <t>加拿大</t>
        </is>
      </c>
      <c r="K108" t="inlineStr">
        <is>
          <t>106</t>
        </is>
      </c>
      <c r="L108" t="inlineStr">
        <is>
          <t>4.0</t>
        </is>
      </c>
      <c r="M108" t="inlineStr">
        <is>
          <t>2676</t>
        </is>
      </c>
      <c r="N108" t="inlineStr">
        <is>
          <t>reported</t>
        </is>
      </c>
      <c r="O108" t="inlineStr">
        <is>
          <t>百分比分母為同一課程類別欄總數；參照期為10月。</t>
        </is>
      </c>
    </row>
    <row r="109">
      <c r="A109" s="15" t="inlineStr">
        <is>
          <t>EDB-S6-2024</t>
        </is>
      </c>
      <c r="B109" t="inlineStr">
        <is>
          <t>2024 Secondary 6 Students’ Pathway Survey</t>
        </is>
      </c>
      <c r="C109" t="inlineStr">
        <is>
          <t>2.3</t>
        </is>
      </c>
      <c r="D109" t="inlineStr">
        <is>
          <t>14</t>
        </is>
      </c>
      <c r="E109" t="inlineStr">
        <is>
          <t>19</t>
        </is>
      </c>
      <c r="F109" t="inlineStr">
        <is>
          <t>2024-10</t>
        </is>
      </c>
      <c r="I109" t="inlineStr">
        <is>
          <t>BACHELOR</t>
        </is>
      </c>
      <c r="J109" t="inlineStr">
        <is>
          <t>台灣</t>
        </is>
      </c>
      <c r="K109" t="inlineStr">
        <is>
          <t>305</t>
        </is>
      </c>
      <c r="L109" t="inlineStr">
        <is>
          <t>11.4</t>
        </is>
      </c>
      <c r="M109" t="inlineStr">
        <is>
          <t>2676</t>
        </is>
      </c>
      <c r="N109" t="inlineStr">
        <is>
          <t>reported</t>
        </is>
      </c>
      <c r="O109" t="inlineStr">
        <is>
          <t>百分比分母為同一課程類別欄總數；參照期為10月。</t>
        </is>
      </c>
    </row>
    <row r="110">
      <c r="A110" s="15" t="inlineStr">
        <is>
          <t>EDB-S6-2024</t>
        </is>
      </c>
      <c r="B110" t="inlineStr">
        <is>
          <t>2024 Secondary 6 Students’ Pathway Survey</t>
        </is>
      </c>
      <c r="C110" t="inlineStr">
        <is>
          <t>2.3</t>
        </is>
      </c>
      <c r="D110" t="inlineStr">
        <is>
          <t>14</t>
        </is>
      </c>
      <c r="E110" t="inlineStr">
        <is>
          <t>19</t>
        </is>
      </c>
      <c r="F110" t="inlineStr">
        <is>
          <t>2024-10</t>
        </is>
      </c>
      <c r="I110" t="inlineStr">
        <is>
          <t>BACHELOR</t>
        </is>
      </c>
      <c r="J110" t="inlineStr">
        <is>
          <t>澳洲</t>
        </is>
      </c>
      <c r="K110" t="inlineStr">
        <is>
          <t>267</t>
        </is>
      </c>
      <c r="L110" t="inlineStr">
        <is>
          <t>10.0</t>
        </is>
      </c>
      <c r="M110" t="inlineStr">
        <is>
          <t>2676</t>
        </is>
      </c>
      <c r="N110" t="inlineStr">
        <is>
          <t>reported</t>
        </is>
      </c>
      <c r="O110" t="inlineStr">
        <is>
          <t>百分比分母為同一課程類別欄總數；參照期為10月。</t>
        </is>
      </c>
    </row>
    <row r="111">
      <c r="A111" s="15" t="inlineStr">
        <is>
          <t>EDB-S6-2024</t>
        </is>
      </c>
      <c r="B111" t="inlineStr">
        <is>
          <t>2024 Secondary 6 Students’ Pathway Survey</t>
        </is>
      </c>
      <c r="C111" t="inlineStr">
        <is>
          <t>2.3</t>
        </is>
      </c>
      <c r="D111" t="inlineStr">
        <is>
          <t>14</t>
        </is>
      </c>
      <c r="E111" t="inlineStr">
        <is>
          <t>19</t>
        </is>
      </c>
      <c r="F111" t="inlineStr">
        <is>
          <t>2024-10</t>
        </is>
      </c>
      <c r="I111" t="inlineStr">
        <is>
          <t>BACHELOR</t>
        </is>
      </c>
      <c r="J111" t="inlineStr">
        <is>
          <t>總數</t>
        </is>
      </c>
      <c r="K111" t="inlineStr">
        <is>
          <t>2676</t>
        </is>
      </c>
      <c r="L111" t="inlineStr">
        <is>
          <t>100.0</t>
        </is>
      </c>
      <c r="M111" t="inlineStr">
        <is>
          <t>2676</t>
        </is>
      </c>
      <c r="N111" t="inlineStr">
        <is>
          <t>reported</t>
        </is>
      </c>
      <c r="O111" t="inlineStr">
        <is>
          <t>EDB原表總數行；按課程類別列合計。</t>
        </is>
      </c>
    </row>
    <row r="112">
      <c r="A112" s="15" t="inlineStr">
        <is>
          <t>EDB-S6-2024</t>
        </is>
      </c>
      <c r="B112" t="inlineStr">
        <is>
          <t>2024 Secondary 6 Students’ Pathway Survey</t>
        </is>
      </c>
      <c r="C112" t="inlineStr">
        <is>
          <t>2.3</t>
        </is>
      </c>
      <c r="D112" t="inlineStr">
        <is>
          <t>14</t>
        </is>
      </c>
      <c r="E112" t="inlineStr">
        <is>
          <t>19</t>
        </is>
      </c>
      <c r="F112" t="inlineStr">
        <is>
          <t>2024-10</t>
        </is>
      </c>
      <c r="I112" t="inlineStr">
        <is>
          <t>BACHELOR</t>
        </is>
      </c>
      <c r="J112" t="inlineStr">
        <is>
          <t>美國</t>
        </is>
      </c>
      <c r="K112" t="inlineStr">
        <is>
          <t>53</t>
        </is>
      </c>
      <c r="L112" t="inlineStr">
        <is>
          <t>2.0</t>
        </is>
      </c>
      <c r="M112" t="inlineStr">
        <is>
          <t>2676</t>
        </is>
      </c>
      <c r="N112" t="inlineStr">
        <is>
          <t>reported</t>
        </is>
      </c>
      <c r="O112" t="inlineStr">
        <is>
          <t>百分比分母為同一課程類別欄總數；參照期為10月。</t>
        </is>
      </c>
    </row>
    <row r="113">
      <c r="A113" s="15" t="inlineStr">
        <is>
          <t>EDB-S6-2024</t>
        </is>
      </c>
      <c r="B113" t="inlineStr">
        <is>
          <t>2024 Secondary 6 Students’ Pathway Survey</t>
        </is>
      </c>
      <c r="C113" t="inlineStr">
        <is>
          <t>2.3</t>
        </is>
      </c>
      <c r="D113" t="inlineStr">
        <is>
          <t>14</t>
        </is>
      </c>
      <c r="E113" t="inlineStr">
        <is>
          <t>19</t>
        </is>
      </c>
      <c r="F113" t="inlineStr">
        <is>
          <t>2024-10</t>
        </is>
      </c>
      <c r="I113" t="inlineStr">
        <is>
          <t>BACHELOR</t>
        </is>
      </c>
      <c r="J113" t="inlineStr">
        <is>
          <t>英國</t>
        </is>
      </c>
      <c r="K113" t="inlineStr">
        <is>
          <t>577</t>
        </is>
      </c>
      <c r="L113" t="inlineStr">
        <is>
          <t>21.6</t>
        </is>
      </c>
      <c r="M113" t="inlineStr">
        <is>
          <t>2676</t>
        </is>
      </c>
      <c r="N113" t="inlineStr">
        <is>
          <t>reported</t>
        </is>
      </c>
      <c r="O113" t="inlineStr">
        <is>
          <t>百分比分母為同一課程類別欄總數；參照期為10月。</t>
        </is>
      </c>
    </row>
    <row r="114">
      <c r="A114" s="15" t="inlineStr">
        <is>
          <t>EDB-S6-2024</t>
        </is>
      </c>
      <c r="B114" t="inlineStr">
        <is>
          <t>2024 Secondary 6 Students’ Pathway Survey</t>
        </is>
      </c>
      <c r="C114" t="inlineStr">
        <is>
          <t>2.3</t>
        </is>
      </c>
      <c r="D114" t="inlineStr">
        <is>
          <t>14</t>
        </is>
      </c>
      <c r="E114" t="inlineStr">
        <is>
          <t>19</t>
        </is>
      </c>
      <c r="F114" t="inlineStr">
        <is>
          <t>2024-10</t>
        </is>
      </c>
      <c r="I114" t="inlineStr">
        <is>
          <t>OTHER_FULL_TIME</t>
        </is>
      </c>
      <c r="J114" t="inlineStr">
        <is>
          <t>中國內地</t>
        </is>
      </c>
      <c r="K114" t="inlineStr">
        <is>
          <t>35</t>
        </is>
      </c>
      <c r="L114" t="inlineStr">
        <is>
          <t>23.8</t>
        </is>
      </c>
      <c r="M114" t="inlineStr">
        <is>
          <t>147</t>
        </is>
      </c>
      <c r="N114" t="inlineStr">
        <is>
          <t>reported</t>
        </is>
      </c>
      <c r="O114" t="inlineStr">
        <is>
          <t>百分比分母為同一課程類別欄總數；參照期為10月。</t>
        </is>
      </c>
    </row>
    <row r="115">
      <c r="A115" s="15" t="inlineStr">
        <is>
          <t>EDB-S6-2024</t>
        </is>
      </c>
      <c r="B115" t="inlineStr">
        <is>
          <t>2024 Secondary 6 Students’ Pathway Survey</t>
        </is>
      </c>
      <c r="C115" t="inlineStr">
        <is>
          <t>2.3</t>
        </is>
      </c>
      <c r="D115" t="inlineStr">
        <is>
          <t>14</t>
        </is>
      </c>
      <c r="E115" t="inlineStr">
        <is>
          <t>19</t>
        </is>
      </c>
      <c r="F115" t="inlineStr">
        <is>
          <t>2024-10</t>
        </is>
      </c>
      <c r="I115" t="inlineStr">
        <is>
          <t>OTHER_FULL_TIME</t>
        </is>
      </c>
      <c r="J115" t="inlineStr">
        <is>
          <t>其他</t>
        </is>
      </c>
      <c r="K115" t="inlineStr">
        <is>
          <t>47</t>
        </is>
      </c>
      <c r="L115" t="inlineStr">
        <is>
          <t>32.0</t>
        </is>
      </c>
      <c r="M115" t="inlineStr">
        <is>
          <t>147</t>
        </is>
      </c>
      <c r="N115" t="inlineStr">
        <is>
          <t>reported</t>
        </is>
      </c>
      <c r="O115" t="inlineStr">
        <is>
          <t>百分比分母為同一課程類別欄總數；參照期為10月。</t>
        </is>
      </c>
    </row>
    <row r="116">
      <c r="A116" s="15" t="inlineStr">
        <is>
          <t>EDB-S6-2024</t>
        </is>
      </c>
      <c r="B116" t="inlineStr">
        <is>
          <t>2024 Secondary 6 Students’ Pathway Survey</t>
        </is>
      </c>
      <c r="C116" t="inlineStr">
        <is>
          <t>2.3</t>
        </is>
      </c>
      <c r="D116" t="inlineStr">
        <is>
          <t>14</t>
        </is>
      </c>
      <c r="E116" t="inlineStr">
        <is>
          <t>19</t>
        </is>
      </c>
      <c r="F116" t="inlineStr">
        <is>
          <t>2024-10</t>
        </is>
      </c>
      <c r="I116" t="inlineStr">
        <is>
          <t>OTHER_FULL_TIME</t>
        </is>
      </c>
      <c r="J116" t="inlineStr">
        <is>
          <t>加拿大</t>
        </is>
      </c>
      <c r="K116" t="inlineStr">
        <is>
          <t>14</t>
        </is>
      </c>
      <c r="L116" t="inlineStr">
        <is>
          <t>9.5</t>
        </is>
      </c>
      <c r="M116" t="inlineStr">
        <is>
          <t>147</t>
        </is>
      </c>
      <c r="N116" t="inlineStr">
        <is>
          <t>reported</t>
        </is>
      </c>
      <c r="O116" t="inlineStr">
        <is>
          <t>百分比分母為同一課程類別欄總數；參照期為10月。</t>
        </is>
      </c>
    </row>
    <row r="117">
      <c r="A117" s="15" t="inlineStr">
        <is>
          <t>EDB-S6-2024</t>
        </is>
      </c>
      <c r="B117" t="inlineStr">
        <is>
          <t>2024 Secondary 6 Students’ Pathway Survey</t>
        </is>
      </c>
      <c r="C117" t="inlineStr">
        <is>
          <t>2.3</t>
        </is>
      </c>
      <c r="D117" t="inlineStr">
        <is>
          <t>14</t>
        </is>
      </c>
      <c r="E117" t="inlineStr">
        <is>
          <t>19</t>
        </is>
      </c>
      <c r="F117" t="inlineStr">
        <is>
          <t>2024-10</t>
        </is>
      </c>
      <c r="I117" t="inlineStr">
        <is>
          <t>OTHER_FULL_TIME</t>
        </is>
      </c>
      <c r="J117" t="inlineStr">
        <is>
          <t>台灣</t>
        </is>
      </c>
      <c r="M117" t="inlineStr">
        <is>
          <t>147</t>
        </is>
      </c>
      <c r="N117" t="inlineStr">
        <is>
          <t>suppressed_privacy</t>
        </is>
      </c>
      <c r="O117" t="inlineStr">
        <is>
          <t>百分比分母為同一課程類別欄總數；EDB以**保密，未公布且不作推算。</t>
        </is>
      </c>
    </row>
    <row r="118">
      <c r="A118" s="15" t="inlineStr">
        <is>
          <t>EDB-S6-2024</t>
        </is>
      </c>
      <c r="B118" t="inlineStr">
        <is>
          <t>2024 Secondary 6 Students’ Pathway Survey</t>
        </is>
      </c>
      <c r="C118" t="inlineStr">
        <is>
          <t>2.3</t>
        </is>
      </c>
      <c r="D118" t="inlineStr">
        <is>
          <t>14</t>
        </is>
      </c>
      <c r="E118" t="inlineStr">
        <is>
          <t>19</t>
        </is>
      </c>
      <c r="F118" t="inlineStr">
        <is>
          <t>2024-10</t>
        </is>
      </c>
      <c r="I118" t="inlineStr">
        <is>
          <t>OTHER_FULL_TIME</t>
        </is>
      </c>
      <c r="J118" t="inlineStr">
        <is>
          <t>澳洲</t>
        </is>
      </c>
      <c r="K118" t="inlineStr">
        <is>
          <t>27</t>
        </is>
      </c>
      <c r="L118" t="inlineStr">
        <is>
          <t>18.4</t>
        </is>
      </c>
      <c r="M118" t="inlineStr">
        <is>
          <t>147</t>
        </is>
      </c>
      <c r="N118" t="inlineStr">
        <is>
          <t>reported</t>
        </is>
      </c>
      <c r="O118" t="inlineStr">
        <is>
          <t>百分比分母為同一課程類別欄總數；參照期為10月。</t>
        </is>
      </c>
    </row>
    <row r="119">
      <c r="A119" s="15" t="inlineStr">
        <is>
          <t>EDB-S6-2024</t>
        </is>
      </c>
      <c r="B119" t="inlineStr">
        <is>
          <t>2024 Secondary 6 Students’ Pathway Survey</t>
        </is>
      </c>
      <c r="C119" t="inlineStr">
        <is>
          <t>2.3</t>
        </is>
      </c>
      <c r="D119" t="inlineStr">
        <is>
          <t>14</t>
        </is>
      </c>
      <c r="E119" t="inlineStr">
        <is>
          <t>19</t>
        </is>
      </c>
      <c r="F119" t="inlineStr">
        <is>
          <t>2024-10</t>
        </is>
      </c>
      <c r="I119" t="inlineStr">
        <is>
          <t>OTHER_FULL_TIME</t>
        </is>
      </c>
      <c r="J119" t="inlineStr">
        <is>
          <t>總數</t>
        </is>
      </c>
      <c r="K119" t="inlineStr">
        <is>
          <t>147</t>
        </is>
      </c>
      <c r="L119" t="inlineStr">
        <is>
          <t>100.0</t>
        </is>
      </c>
      <c r="M119" t="inlineStr">
        <is>
          <t>147</t>
        </is>
      </c>
      <c r="N119" t="inlineStr">
        <is>
          <t>reported</t>
        </is>
      </c>
      <c r="O119" t="inlineStr">
        <is>
          <t>EDB原表總數行；按課程類別列合計。</t>
        </is>
      </c>
    </row>
    <row r="120">
      <c r="A120" s="15" t="inlineStr">
        <is>
          <t>EDB-S6-2024</t>
        </is>
      </c>
      <c r="B120" t="inlineStr">
        <is>
          <t>2024 Secondary 6 Students’ Pathway Survey</t>
        </is>
      </c>
      <c r="C120" t="inlineStr">
        <is>
          <t>2.3</t>
        </is>
      </c>
      <c r="D120" t="inlineStr">
        <is>
          <t>14</t>
        </is>
      </c>
      <c r="E120" t="inlineStr">
        <is>
          <t>19</t>
        </is>
      </c>
      <c r="F120" t="inlineStr">
        <is>
          <t>2024-10</t>
        </is>
      </c>
      <c r="I120" t="inlineStr">
        <is>
          <t>OTHER_FULL_TIME</t>
        </is>
      </c>
      <c r="J120" t="inlineStr">
        <is>
          <t>美國</t>
        </is>
      </c>
      <c r="M120" t="inlineStr">
        <is>
          <t>147</t>
        </is>
      </c>
      <c r="N120" t="inlineStr">
        <is>
          <t>suppressed_privacy</t>
        </is>
      </c>
      <c r="O120" t="inlineStr">
        <is>
          <t>百分比分母為同一課程類別欄總數；EDB以**保密，未公布且不作推算。</t>
        </is>
      </c>
    </row>
    <row r="121">
      <c r="A121" s="15" t="inlineStr">
        <is>
          <t>EDB-S6-2024</t>
        </is>
      </c>
      <c r="B121" t="inlineStr">
        <is>
          <t>2024 Secondary 6 Students’ Pathway Survey</t>
        </is>
      </c>
      <c r="C121" t="inlineStr">
        <is>
          <t>2.3</t>
        </is>
      </c>
      <c r="D121" t="inlineStr">
        <is>
          <t>14</t>
        </is>
      </c>
      <c r="E121" t="inlineStr">
        <is>
          <t>19</t>
        </is>
      </c>
      <c r="F121" t="inlineStr">
        <is>
          <t>2024-10</t>
        </is>
      </c>
      <c r="I121" t="inlineStr">
        <is>
          <t>OTHER_FULL_TIME</t>
        </is>
      </c>
      <c r="J121" t="inlineStr">
        <is>
          <t>英國</t>
        </is>
      </c>
      <c r="K121" t="inlineStr">
        <is>
          <t>21</t>
        </is>
      </c>
      <c r="L121" t="inlineStr">
        <is>
          <t>14.3</t>
        </is>
      </c>
      <c r="M121" t="inlineStr">
        <is>
          <t>147</t>
        </is>
      </c>
      <c r="N121" t="inlineStr">
        <is>
          <t>reported</t>
        </is>
      </c>
      <c r="O121" t="inlineStr">
        <is>
          <t>百分比分母為同一課程類別欄總數；參照期為10月。</t>
        </is>
      </c>
    </row>
    <row r="122">
      <c r="A122" s="15" t="inlineStr">
        <is>
          <t>EDB-S6-2024</t>
        </is>
      </c>
      <c r="B122" t="inlineStr">
        <is>
          <t>2024 Secondary 6 Students’ Pathway Survey</t>
        </is>
      </c>
      <c r="C122" t="inlineStr">
        <is>
          <t>2.3</t>
        </is>
      </c>
      <c r="D122" t="inlineStr">
        <is>
          <t>14</t>
        </is>
      </c>
      <c r="E122" t="inlineStr">
        <is>
          <t>19</t>
        </is>
      </c>
      <c r="F122" t="inlineStr">
        <is>
          <t>2024-10</t>
        </is>
      </c>
      <c r="I122" t="inlineStr">
        <is>
          <t>POSTSECONDARY</t>
        </is>
      </c>
      <c r="J122" t="inlineStr">
        <is>
          <t>中國內地</t>
        </is>
      </c>
      <c r="K122" t="inlineStr">
        <is>
          <t>64</t>
        </is>
      </c>
      <c r="L122" t="inlineStr">
        <is>
          <t>26.9</t>
        </is>
      </c>
      <c r="M122" t="inlineStr">
        <is>
          <t>238</t>
        </is>
      </c>
      <c r="N122" t="inlineStr">
        <is>
          <t>reported</t>
        </is>
      </c>
      <c r="O122" t="inlineStr">
        <is>
          <t>百分比分母為同一課程類別欄總數；參照期為10月。</t>
        </is>
      </c>
    </row>
    <row r="123">
      <c r="A123" s="15" t="inlineStr">
        <is>
          <t>EDB-S6-2024</t>
        </is>
      </c>
      <c r="B123" t="inlineStr">
        <is>
          <t>2024 Secondary 6 Students’ Pathway Survey</t>
        </is>
      </c>
      <c r="C123" t="inlineStr">
        <is>
          <t>2.3</t>
        </is>
      </c>
      <c r="D123" t="inlineStr">
        <is>
          <t>14</t>
        </is>
      </c>
      <c r="E123" t="inlineStr">
        <is>
          <t>19</t>
        </is>
      </c>
      <c r="F123" t="inlineStr">
        <is>
          <t>2024-10</t>
        </is>
      </c>
      <c r="I123" t="inlineStr">
        <is>
          <t>POSTSECONDARY</t>
        </is>
      </c>
      <c r="J123" t="inlineStr">
        <is>
          <t>其他</t>
        </is>
      </c>
      <c r="K123" t="inlineStr">
        <is>
          <t>37</t>
        </is>
      </c>
      <c r="L123" t="inlineStr">
        <is>
          <t>15.5</t>
        </is>
      </c>
      <c r="M123" t="inlineStr">
        <is>
          <t>238</t>
        </is>
      </c>
      <c r="N123" t="inlineStr">
        <is>
          <t>reported</t>
        </is>
      </c>
      <c r="O123" t="inlineStr">
        <is>
          <t>百分比分母為同一課程類別欄總數；參照期為10月。</t>
        </is>
      </c>
    </row>
    <row r="124">
      <c r="A124" s="15" t="inlineStr">
        <is>
          <t>EDB-S6-2024</t>
        </is>
      </c>
      <c r="B124" t="inlineStr">
        <is>
          <t>2024 Secondary 6 Students’ Pathway Survey</t>
        </is>
      </c>
      <c r="C124" t="inlineStr">
        <is>
          <t>2.3</t>
        </is>
      </c>
      <c r="D124" t="inlineStr">
        <is>
          <t>14</t>
        </is>
      </c>
      <c r="E124" t="inlineStr">
        <is>
          <t>19</t>
        </is>
      </c>
      <c r="F124" t="inlineStr">
        <is>
          <t>2024-10</t>
        </is>
      </c>
      <c r="I124" t="inlineStr">
        <is>
          <t>POSTSECONDARY</t>
        </is>
      </c>
      <c r="J124" t="inlineStr">
        <is>
          <t>加拿大</t>
        </is>
      </c>
      <c r="K124" t="inlineStr">
        <is>
          <t>29</t>
        </is>
      </c>
      <c r="L124" t="inlineStr">
        <is>
          <t>12.2</t>
        </is>
      </c>
      <c r="M124" t="inlineStr">
        <is>
          <t>238</t>
        </is>
      </c>
      <c r="N124" t="inlineStr">
        <is>
          <t>reported</t>
        </is>
      </c>
      <c r="O124" t="inlineStr">
        <is>
          <t>百分比分母為同一課程類別欄總數；參照期為10月。</t>
        </is>
      </c>
    </row>
    <row r="125">
      <c r="A125" s="15" t="inlineStr">
        <is>
          <t>EDB-S6-2024</t>
        </is>
      </c>
      <c r="B125" t="inlineStr">
        <is>
          <t>2024 Secondary 6 Students’ Pathway Survey</t>
        </is>
      </c>
      <c r="C125" t="inlineStr">
        <is>
          <t>2.3</t>
        </is>
      </c>
      <c r="D125" t="inlineStr">
        <is>
          <t>14</t>
        </is>
      </c>
      <c r="E125" t="inlineStr">
        <is>
          <t>19</t>
        </is>
      </c>
      <c r="F125" t="inlineStr">
        <is>
          <t>2024-10</t>
        </is>
      </c>
      <c r="I125" t="inlineStr">
        <is>
          <t>POSTSECONDARY</t>
        </is>
      </c>
      <c r="J125" t="inlineStr">
        <is>
          <t>台灣</t>
        </is>
      </c>
      <c r="M125" t="inlineStr">
        <is>
          <t>238</t>
        </is>
      </c>
      <c r="N125" t="inlineStr">
        <is>
          <t>suppressed_privacy</t>
        </is>
      </c>
      <c r="O125" t="inlineStr">
        <is>
          <t>百分比分母為同一課程類別欄總數；EDB以**保密，未公布且不作推算。</t>
        </is>
      </c>
    </row>
    <row r="126">
      <c r="A126" s="15" t="inlineStr">
        <is>
          <t>EDB-S6-2024</t>
        </is>
      </c>
      <c r="B126" t="inlineStr">
        <is>
          <t>2024 Secondary 6 Students’ Pathway Survey</t>
        </is>
      </c>
      <c r="C126" t="inlineStr">
        <is>
          <t>2.3</t>
        </is>
      </c>
      <c r="D126" t="inlineStr">
        <is>
          <t>14</t>
        </is>
      </c>
      <c r="E126" t="inlineStr">
        <is>
          <t>19</t>
        </is>
      </c>
      <c r="F126" t="inlineStr">
        <is>
          <t>2024-10</t>
        </is>
      </c>
      <c r="I126" t="inlineStr">
        <is>
          <t>POSTSECONDARY</t>
        </is>
      </c>
      <c r="J126" t="inlineStr">
        <is>
          <t>澳洲</t>
        </is>
      </c>
      <c r="K126" t="inlineStr">
        <is>
          <t>44</t>
        </is>
      </c>
      <c r="L126" t="inlineStr">
        <is>
          <t>18.5</t>
        </is>
      </c>
      <c r="M126" t="inlineStr">
        <is>
          <t>238</t>
        </is>
      </c>
      <c r="N126" t="inlineStr">
        <is>
          <t>reported</t>
        </is>
      </c>
      <c r="O126" t="inlineStr">
        <is>
          <t>百分比分母為同一課程類別欄總數；參照期為10月。</t>
        </is>
      </c>
    </row>
    <row r="127">
      <c r="A127" s="15" t="inlineStr">
        <is>
          <t>EDB-S6-2024</t>
        </is>
      </c>
      <c r="B127" t="inlineStr">
        <is>
          <t>2024 Secondary 6 Students’ Pathway Survey</t>
        </is>
      </c>
      <c r="C127" t="inlineStr">
        <is>
          <t>2.3</t>
        </is>
      </c>
      <c r="D127" t="inlineStr">
        <is>
          <t>14</t>
        </is>
      </c>
      <c r="E127" t="inlineStr">
        <is>
          <t>19</t>
        </is>
      </c>
      <c r="F127" t="inlineStr">
        <is>
          <t>2024-10</t>
        </is>
      </c>
      <c r="I127" t="inlineStr">
        <is>
          <t>POSTSECONDARY</t>
        </is>
      </c>
      <c r="J127" t="inlineStr">
        <is>
          <t>總數</t>
        </is>
      </c>
      <c r="K127" t="inlineStr">
        <is>
          <t>238</t>
        </is>
      </c>
      <c r="L127" t="inlineStr">
        <is>
          <t>100.0</t>
        </is>
      </c>
      <c r="M127" t="inlineStr">
        <is>
          <t>238</t>
        </is>
      </c>
      <c r="N127" t="inlineStr">
        <is>
          <t>reported</t>
        </is>
      </c>
      <c r="O127" t="inlineStr">
        <is>
          <t>EDB原表總數行；按課程類別列合計。</t>
        </is>
      </c>
    </row>
    <row r="128">
      <c r="A128" s="15" t="inlineStr">
        <is>
          <t>EDB-S6-2024</t>
        </is>
      </c>
      <c r="B128" t="inlineStr">
        <is>
          <t>2024 Secondary 6 Students’ Pathway Survey</t>
        </is>
      </c>
      <c r="C128" t="inlineStr">
        <is>
          <t>2.3</t>
        </is>
      </c>
      <c r="D128" t="inlineStr">
        <is>
          <t>14</t>
        </is>
      </c>
      <c r="E128" t="inlineStr">
        <is>
          <t>19</t>
        </is>
      </c>
      <c r="F128" t="inlineStr">
        <is>
          <t>2024-10</t>
        </is>
      </c>
      <c r="I128" t="inlineStr">
        <is>
          <t>POSTSECONDARY</t>
        </is>
      </c>
      <c r="J128" t="inlineStr">
        <is>
          <t>美國</t>
        </is>
      </c>
      <c r="M128" t="inlineStr">
        <is>
          <t>238</t>
        </is>
      </c>
      <c r="N128" t="inlineStr">
        <is>
          <t>suppressed_privacy</t>
        </is>
      </c>
      <c r="O128" t="inlineStr">
        <is>
          <t>百分比分母為同一課程類別欄總數；EDB以**保密，未公布且不作推算。</t>
        </is>
      </c>
    </row>
    <row r="129">
      <c r="A129" s="15" t="inlineStr">
        <is>
          <t>EDB-S6-2024</t>
        </is>
      </c>
      <c r="B129" t="inlineStr">
        <is>
          <t>2024 Secondary 6 Students’ Pathway Survey</t>
        </is>
      </c>
      <c r="C129" t="inlineStr">
        <is>
          <t>2.3</t>
        </is>
      </c>
      <c r="D129" t="inlineStr">
        <is>
          <t>14</t>
        </is>
      </c>
      <c r="E129" t="inlineStr">
        <is>
          <t>19</t>
        </is>
      </c>
      <c r="F129" t="inlineStr">
        <is>
          <t>2024-10</t>
        </is>
      </c>
      <c r="I129" t="inlineStr">
        <is>
          <t>POSTSECONDARY</t>
        </is>
      </c>
      <c r="J129" t="inlineStr">
        <is>
          <t>英國</t>
        </is>
      </c>
      <c r="K129" t="inlineStr">
        <is>
          <t>49</t>
        </is>
      </c>
      <c r="L129" t="inlineStr">
        <is>
          <t>20.6</t>
        </is>
      </c>
      <c r="M129" t="inlineStr">
        <is>
          <t>238</t>
        </is>
      </c>
      <c r="N129" t="inlineStr">
        <is>
          <t>reported</t>
        </is>
      </c>
      <c r="O129" t="inlineStr">
        <is>
          <t>百分比分母為同一課程類別欄總數；參照期為10月。</t>
        </is>
      </c>
    </row>
    <row r="130">
      <c r="A130" s="15" t="inlineStr">
        <is>
          <t>EDB-S6-2025</t>
        </is>
      </c>
      <c r="B130" t="inlineStr">
        <is>
          <t>2025 Survey on Destinations of Secondary 6 Graduates</t>
        </is>
      </c>
      <c r="C130" t="inlineStr">
        <is>
          <t>2.3</t>
        </is>
      </c>
      <c r="D130" t="inlineStr">
        <is>
          <t>14</t>
        </is>
      </c>
      <c r="E130" t="inlineStr">
        <is>
          <t>19</t>
        </is>
      </c>
      <c r="F130" t="inlineStr">
        <is>
          <t>2025-10</t>
        </is>
      </c>
      <c r="I130" t="inlineStr">
        <is>
          <t>ALL</t>
        </is>
      </c>
      <c r="J130" t="inlineStr">
        <is>
          <t>中國內地</t>
        </is>
      </c>
      <c r="K130" t="inlineStr">
        <is>
          <t>1259</t>
        </is>
      </c>
      <c r="L130" t="inlineStr">
        <is>
          <t>47.1</t>
        </is>
      </c>
      <c r="M130" t="inlineStr">
        <is>
          <t>2671</t>
        </is>
      </c>
      <c r="N130" t="inlineStr">
        <is>
          <t>reported</t>
        </is>
      </c>
      <c r="O130" t="inlineStr">
        <is>
          <t>百分比為該課程類別中就讀此地區的人數比例。</t>
        </is>
      </c>
    </row>
    <row r="131">
      <c r="A131" s="15" t="inlineStr">
        <is>
          <t>EDB-S6-2025</t>
        </is>
      </c>
      <c r="B131" t="inlineStr">
        <is>
          <t>2025 Survey on Destinations of Secondary 6 Graduates</t>
        </is>
      </c>
      <c r="C131" t="inlineStr">
        <is>
          <t>2.3</t>
        </is>
      </c>
      <c r="D131" t="inlineStr">
        <is>
          <t>14</t>
        </is>
      </c>
      <c r="E131" t="inlineStr">
        <is>
          <t>19</t>
        </is>
      </c>
      <c r="F131" t="inlineStr">
        <is>
          <t>2025-10</t>
        </is>
      </c>
      <c r="I131" t="inlineStr">
        <is>
          <t>ALL</t>
        </is>
      </c>
      <c r="J131" t="inlineStr">
        <is>
          <t>其他</t>
        </is>
      </c>
      <c r="K131" t="inlineStr">
        <is>
          <t>218</t>
        </is>
      </c>
      <c r="L131" t="inlineStr">
        <is>
          <t>8.2</t>
        </is>
      </c>
      <c r="M131" t="inlineStr">
        <is>
          <t>2671</t>
        </is>
      </c>
      <c r="N131" t="inlineStr">
        <is>
          <t>reported</t>
        </is>
      </c>
      <c r="O131" t="inlineStr">
        <is>
          <t>百分比為該課程類別中就讀此地區的人數比例。</t>
        </is>
      </c>
    </row>
    <row r="132">
      <c r="A132" s="15" t="inlineStr">
        <is>
          <t>EDB-S6-2025</t>
        </is>
      </c>
      <c r="B132" t="inlineStr">
        <is>
          <t>2025 Survey on Destinations of Secondary 6 Graduates</t>
        </is>
      </c>
      <c r="C132" t="inlineStr">
        <is>
          <t>2.3</t>
        </is>
      </c>
      <c r="D132" t="inlineStr">
        <is>
          <t>14</t>
        </is>
      </c>
      <c r="E132" t="inlineStr">
        <is>
          <t>19</t>
        </is>
      </c>
      <c r="F132" t="inlineStr">
        <is>
          <t>2025-10</t>
        </is>
      </c>
      <c r="I132" t="inlineStr">
        <is>
          <t>ALL</t>
        </is>
      </c>
      <c r="J132" t="inlineStr">
        <is>
          <t>加拿大</t>
        </is>
      </c>
      <c r="K132" t="inlineStr">
        <is>
          <t>78</t>
        </is>
      </c>
      <c r="L132" t="inlineStr">
        <is>
          <t>2.9</t>
        </is>
      </c>
      <c r="M132" t="inlineStr">
        <is>
          <t>2671</t>
        </is>
      </c>
      <c r="N132" t="inlineStr">
        <is>
          <t>reported</t>
        </is>
      </c>
      <c r="O132" t="inlineStr">
        <is>
          <t>百分比為該課程類別中就讀此地區的人數比例。</t>
        </is>
      </c>
    </row>
    <row r="133">
      <c r="A133" s="15" t="inlineStr">
        <is>
          <t>EDB-S6-2025</t>
        </is>
      </c>
      <c r="B133" t="inlineStr">
        <is>
          <t>2025 Survey on Destinations of Secondary 6 Graduates</t>
        </is>
      </c>
      <c r="C133" t="inlineStr">
        <is>
          <t>2.3</t>
        </is>
      </c>
      <c r="D133" t="inlineStr">
        <is>
          <t>14</t>
        </is>
      </c>
      <c r="E133" t="inlineStr">
        <is>
          <t>19</t>
        </is>
      </c>
      <c r="F133" t="inlineStr">
        <is>
          <t>2025-10</t>
        </is>
      </c>
      <c r="I133" t="inlineStr">
        <is>
          <t>ALL</t>
        </is>
      </c>
      <c r="J133" t="inlineStr">
        <is>
          <t>台灣</t>
        </is>
      </c>
      <c r="K133" t="inlineStr">
        <is>
          <t>196</t>
        </is>
      </c>
      <c r="L133" t="inlineStr">
        <is>
          <t>7.3</t>
        </is>
      </c>
      <c r="M133" t="inlineStr">
        <is>
          <t>2671</t>
        </is>
      </c>
      <c r="N133" t="inlineStr">
        <is>
          <t>reported</t>
        </is>
      </c>
      <c r="O133" t="inlineStr">
        <is>
          <t>百分比為該課程類別中就讀此地區的人數比例。</t>
        </is>
      </c>
    </row>
    <row r="134">
      <c r="A134" s="15" t="inlineStr">
        <is>
          <t>EDB-S6-2025</t>
        </is>
      </c>
      <c r="B134" t="inlineStr">
        <is>
          <t>2025 Survey on Destinations of Secondary 6 Graduates</t>
        </is>
      </c>
      <c r="C134" t="inlineStr">
        <is>
          <t>2.3</t>
        </is>
      </c>
      <c r="D134" t="inlineStr">
        <is>
          <t>14</t>
        </is>
      </c>
      <c r="E134" t="inlineStr">
        <is>
          <t>19</t>
        </is>
      </c>
      <c r="F134" t="inlineStr">
        <is>
          <t>2025-10</t>
        </is>
      </c>
      <c r="I134" t="inlineStr">
        <is>
          <t>ALL</t>
        </is>
      </c>
      <c r="J134" t="inlineStr">
        <is>
          <t>澳洲</t>
        </is>
      </c>
      <c r="K134" t="inlineStr">
        <is>
          <t>363</t>
        </is>
      </c>
      <c r="L134" t="inlineStr">
        <is>
          <t>13.6</t>
        </is>
      </c>
      <c r="M134" t="inlineStr">
        <is>
          <t>2671</t>
        </is>
      </c>
      <c r="N134" t="inlineStr">
        <is>
          <t>reported</t>
        </is>
      </c>
      <c r="O134" t="inlineStr">
        <is>
          <t>百分比為該課程類別中就讀此地區的人數比例。</t>
        </is>
      </c>
    </row>
    <row r="135">
      <c r="A135" s="15" t="inlineStr">
        <is>
          <t>EDB-S6-2025</t>
        </is>
      </c>
      <c r="B135" t="inlineStr">
        <is>
          <t>2025 Survey on Destinations of Secondary 6 Graduates</t>
        </is>
      </c>
      <c r="C135" t="inlineStr">
        <is>
          <t>2.3</t>
        </is>
      </c>
      <c r="D135" t="inlineStr">
        <is>
          <t>14</t>
        </is>
      </c>
      <c r="E135" t="inlineStr">
        <is>
          <t>19</t>
        </is>
      </c>
      <c r="F135" t="inlineStr">
        <is>
          <t>2025-10</t>
        </is>
      </c>
      <c r="I135" t="inlineStr">
        <is>
          <t>ALL</t>
        </is>
      </c>
      <c r="J135" t="inlineStr">
        <is>
          <t>總數</t>
        </is>
      </c>
      <c r="K135" t="inlineStr">
        <is>
          <t>2671</t>
        </is>
      </c>
      <c r="L135" t="inlineStr">
        <is>
          <t>100.0</t>
        </is>
      </c>
      <c r="M135" t="inlineStr">
        <is>
          <t>2671</t>
        </is>
      </c>
      <c r="N135" t="inlineStr">
        <is>
          <t>reported</t>
        </is>
      </c>
      <c r="O135" t="inlineStr">
        <is>
          <t>百分比為該課程類別中就讀此地區的人數比例。</t>
        </is>
      </c>
    </row>
    <row r="136">
      <c r="A136" s="15" t="inlineStr">
        <is>
          <t>EDB-S6-2025</t>
        </is>
      </c>
      <c r="B136" t="inlineStr">
        <is>
          <t>2025 Survey on Destinations of Secondary 6 Graduates</t>
        </is>
      </c>
      <c r="C136" t="inlineStr">
        <is>
          <t>2.3</t>
        </is>
      </c>
      <c r="D136" t="inlineStr">
        <is>
          <t>14</t>
        </is>
      </c>
      <c r="E136" t="inlineStr">
        <is>
          <t>19</t>
        </is>
      </c>
      <c r="F136" t="inlineStr">
        <is>
          <t>2025-10</t>
        </is>
      </c>
      <c r="I136" t="inlineStr">
        <is>
          <t>ALL</t>
        </is>
      </c>
      <c r="J136" t="inlineStr">
        <is>
          <t>美國</t>
        </is>
      </c>
      <c r="K136" t="inlineStr">
        <is>
          <t>77</t>
        </is>
      </c>
      <c r="L136" t="inlineStr">
        <is>
          <t>2.9</t>
        </is>
      </c>
      <c r="M136" t="inlineStr">
        <is>
          <t>2671</t>
        </is>
      </c>
      <c r="N136" t="inlineStr">
        <is>
          <t>reported</t>
        </is>
      </c>
      <c r="O136" t="inlineStr">
        <is>
          <t>百分比為該課程類別中就讀此地區的人數比例。</t>
        </is>
      </c>
    </row>
    <row r="137">
      <c r="A137" s="15" t="inlineStr">
        <is>
          <t>EDB-S6-2025</t>
        </is>
      </c>
      <c r="B137" t="inlineStr">
        <is>
          <t>2025 Survey on Destinations of Secondary 6 Graduates</t>
        </is>
      </c>
      <c r="C137" t="inlineStr">
        <is>
          <t>2.3</t>
        </is>
      </c>
      <c r="D137" t="inlineStr">
        <is>
          <t>14</t>
        </is>
      </c>
      <c r="E137" t="inlineStr">
        <is>
          <t>19</t>
        </is>
      </c>
      <c r="F137" t="inlineStr">
        <is>
          <t>2025-10</t>
        </is>
      </c>
      <c r="I137" t="inlineStr">
        <is>
          <t>ALL</t>
        </is>
      </c>
      <c r="J137" t="inlineStr">
        <is>
          <t>英國</t>
        </is>
      </c>
      <c r="K137" t="inlineStr">
        <is>
          <t>480</t>
        </is>
      </c>
      <c r="L137" t="inlineStr">
        <is>
          <t>18.0</t>
        </is>
      </c>
      <c r="M137" t="inlineStr">
        <is>
          <t>2671</t>
        </is>
      </c>
      <c r="N137" t="inlineStr">
        <is>
          <t>reported</t>
        </is>
      </c>
      <c r="O137" t="inlineStr">
        <is>
          <t>百分比為該課程類別中就讀此地區的人數比例。</t>
        </is>
      </c>
    </row>
    <row r="138">
      <c r="A138" s="15" t="inlineStr">
        <is>
          <t>EDB-S6-2025</t>
        </is>
      </c>
      <c r="B138" t="inlineStr">
        <is>
          <t>2025 Survey on Destinations of Secondary 6 Graduates</t>
        </is>
      </c>
      <c r="C138" t="inlineStr">
        <is>
          <t>2.3</t>
        </is>
      </c>
      <c r="D138" t="inlineStr">
        <is>
          <t>14</t>
        </is>
      </c>
      <c r="E138" t="inlineStr">
        <is>
          <t>19</t>
        </is>
      </c>
      <c r="F138" t="inlineStr">
        <is>
          <t>2025-10</t>
        </is>
      </c>
      <c r="I138" t="inlineStr">
        <is>
          <t>BACHELOR</t>
        </is>
      </c>
      <c r="J138" t="inlineStr">
        <is>
          <t>中國內地</t>
        </is>
      </c>
      <c r="K138" t="inlineStr">
        <is>
          <t>1210</t>
        </is>
      </c>
      <c r="L138" t="inlineStr">
        <is>
          <t>50.5</t>
        </is>
      </c>
      <c r="M138" t="inlineStr">
        <is>
          <t>2394</t>
        </is>
      </c>
      <c r="N138" t="inlineStr">
        <is>
          <t>reported</t>
        </is>
      </c>
      <c r="O138" t="inlineStr">
        <is>
          <t>百分比為該課程類別中就讀此地區的人數比例。</t>
        </is>
      </c>
    </row>
    <row r="139">
      <c r="A139" s="15" t="inlineStr">
        <is>
          <t>EDB-S6-2025</t>
        </is>
      </c>
      <c r="B139" t="inlineStr">
        <is>
          <t>2025 Survey on Destinations of Secondary 6 Graduates</t>
        </is>
      </c>
      <c r="C139" t="inlineStr">
        <is>
          <t>2.3</t>
        </is>
      </c>
      <c r="D139" t="inlineStr">
        <is>
          <t>14</t>
        </is>
      </c>
      <c r="E139" t="inlineStr">
        <is>
          <t>19</t>
        </is>
      </c>
      <c r="F139" t="inlineStr">
        <is>
          <t>2025-10</t>
        </is>
      </c>
      <c r="I139" t="inlineStr">
        <is>
          <t>BACHELOR</t>
        </is>
      </c>
      <c r="J139" t="inlineStr">
        <is>
          <t>其他</t>
        </is>
      </c>
      <c r="K139" t="inlineStr">
        <is>
          <t>143</t>
        </is>
      </c>
      <c r="L139" t="inlineStr">
        <is>
          <t>6.0</t>
        </is>
      </c>
      <c r="M139" t="inlineStr">
        <is>
          <t>2394</t>
        </is>
      </c>
      <c r="N139" t="inlineStr">
        <is>
          <t>reported</t>
        </is>
      </c>
      <c r="O139" t="inlineStr">
        <is>
          <t>百分比為該課程類別中就讀此地區的人數比例。</t>
        </is>
      </c>
    </row>
    <row r="140">
      <c r="A140" s="15" t="inlineStr">
        <is>
          <t>EDB-S6-2025</t>
        </is>
      </c>
      <c r="B140" t="inlineStr">
        <is>
          <t>2025 Survey on Destinations of Secondary 6 Graduates</t>
        </is>
      </c>
      <c r="C140" t="inlineStr">
        <is>
          <t>2.3</t>
        </is>
      </c>
      <c r="D140" t="inlineStr">
        <is>
          <t>14</t>
        </is>
      </c>
      <c r="E140" t="inlineStr">
        <is>
          <t>19</t>
        </is>
      </c>
      <c r="F140" t="inlineStr">
        <is>
          <t>2025-10</t>
        </is>
      </c>
      <c r="I140" t="inlineStr">
        <is>
          <t>BACHELOR</t>
        </is>
      </c>
      <c r="J140" t="inlineStr">
        <is>
          <t>加拿大</t>
        </is>
      </c>
      <c r="K140" t="inlineStr">
        <is>
          <t>66</t>
        </is>
      </c>
      <c r="L140" t="inlineStr">
        <is>
          <t>2.8</t>
        </is>
      </c>
      <c r="M140" t="inlineStr">
        <is>
          <t>2394</t>
        </is>
      </c>
      <c r="N140" t="inlineStr">
        <is>
          <t>reported</t>
        </is>
      </c>
      <c r="O140" t="inlineStr">
        <is>
          <t>百分比為該課程類別中就讀此地區的人數比例。</t>
        </is>
      </c>
    </row>
    <row r="141">
      <c r="A141" s="15" t="inlineStr">
        <is>
          <t>EDB-S6-2025</t>
        </is>
      </c>
      <c r="B141" t="inlineStr">
        <is>
          <t>2025 Survey on Destinations of Secondary 6 Graduates</t>
        </is>
      </c>
      <c r="C141" t="inlineStr">
        <is>
          <t>2.3</t>
        </is>
      </c>
      <c r="D141" t="inlineStr">
        <is>
          <t>14</t>
        </is>
      </c>
      <c r="E141" t="inlineStr">
        <is>
          <t>19</t>
        </is>
      </c>
      <c r="F141" t="inlineStr">
        <is>
          <t>2025-10</t>
        </is>
      </c>
      <c r="I141" t="inlineStr">
        <is>
          <t>BACHELOR</t>
        </is>
      </c>
      <c r="J141" t="inlineStr">
        <is>
          <t>台灣</t>
        </is>
      </c>
      <c r="K141" t="inlineStr">
        <is>
          <t>192</t>
        </is>
      </c>
      <c r="L141" t="inlineStr">
        <is>
          <t>8.0</t>
        </is>
      </c>
      <c r="M141" t="inlineStr">
        <is>
          <t>2394</t>
        </is>
      </c>
      <c r="N141" t="inlineStr">
        <is>
          <t>reported</t>
        </is>
      </c>
      <c r="O141" t="inlineStr">
        <is>
          <t>百分比為該課程類別中就讀此地區的人數比例。</t>
        </is>
      </c>
    </row>
    <row r="142">
      <c r="A142" s="15" t="inlineStr">
        <is>
          <t>EDB-S6-2025</t>
        </is>
      </c>
      <c r="B142" t="inlineStr">
        <is>
          <t>2025 Survey on Destinations of Secondary 6 Graduates</t>
        </is>
      </c>
      <c r="C142" t="inlineStr">
        <is>
          <t>2.3</t>
        </is>
      </c>
      <c r="D142" t="inlineStr">
        <is>
          <t>14</t>
        </is>
      </c>
      <c r="E142" t="inlineStr">
        <is>
          <t>19</t>
        </is>
      </c>
      <c r="F142" t="inlineStr">
        <is>
          <t>2025-10</t>
        </is>
      </c>
      <c r="I142" t="inlineStr">
        <is>
          <t>BACHELOR</t>
        </is>
      </c>
      <c r="J142" t="inlineStr">
        <is>
          <t>澳洲</t>
        </is>
      </c>
      <c r="K142" t="inlineStr">
        <is>
          <t>293</t>
        </is>
      </c>
      <c r="L142" t="inlineStr">
        <is>
          <t>12.2</t>
        </is>
      </c>
      <c r="M142" t="inlineStr">
        <is>
          <t>2394</t>
        </is>
      </c>
      <c r="N142" t="inlineStr">
        <is>
          <t>reported</t>
        </is>
      </c>
      <c r="O142" t="inlineStr">
        <is>
          <t>百分比為該課程類別中就讀此地區的人數比例。</t>
        </is>
      </c>
    </row>
    <row r="143">
      <c r="A143" s="15" t="inlineStr">
        <is>
          <t>EDB-S6-2025</t>
        </is>
      </c>
      <c r="B143" t="inlineStr">
        <is>
          <t>2025 Survey on Destinations of Secondary 6 Graduates</t>
        </is>
      </c>
      <c r="C143" t="inlineStr">
        <is>
          <t>2.3</t>
        </is>
      </c>
      <c r="D143" t="inlineStr">
        <is>
          <t>14</t>
        </is>
      </c>
      <c r="E143" t="inlineStr">
        <is>
          <t>19</t>
        </is>
      </c>
      <c r="F143" t="inlineStr">
        <is>
          <t>2025-10</t>
        </is>
      </c>
      <c r="I143" t="inlineStr">
        <is>
          <t>BACHELOR</t>
        </is>
      </c>
      <c r="J143" t="inlineStr">
        <is>
          <t>總數</t>
        </is>
      </c>
      <c r="K143" t="inlineStr">
        <is>
          <t>2394</t>
        </is>
      </c>
      <c r="L143" t="inlineStr">
        <is>
          <t>100.0</t>
        </is>
      </c>
      <c r="M143" t="inlineStr">
        <is>
          <t>2394</t>
        </is>
      </c>
      <c r="N143" t="inlineStr">
        <is>
          <t>reported</t>
        </is>
      </c>
      <c r="O143" t="inlineStr">
        <is>
          <t>百分比為該課程類別中就讀此地區的人數比例。</t>
        </is>
      </c>
    </row>
    <row r="144">
      <c r="A144" s="15" t="inlineStr">
        <is>
          <t>EDB-S6-2025</t>
        </is>
      </c>
      <c r="B144" t="inlineStr">
        <is>
          <t>2025 Survey on Destinations of Secondary 6 Graduates</t>
        </is>
      </c>
      <c r="C144" t="inlineStr">
        <is>
          <t>2.3</t>
        </is>
      </c>
      <c r="D144" t="inlineStr">
        <is>
          <t>14</t>
        </is>
      </c>
      <c r="E144" t="inlineStr">
        <is>
          <t>19</t>
        </is>
      </c>
      <c r="F144" t="inlineStr">
        <is>
          <t>2025-10</t>
        </is>
      </c>
      <c r="I144" t="inlineStr">
        <is>
          <t>BACHELOR</t>
        </is>
      </c>
      <c r="J144" t="inlineStr">
        <is>
          <t>美國</t>
        </is>
      </c>
      <c r="K144" t="inlineStr">
        <is>
          <t>61</t>
        </is>
      </c>
      <c r="L144" t="inlineStr">
        <is>
          <t>2.5</t>
        </is>
      </c>
      <c r="M144" t="inlineStr">
        <is>
          <t>2394</t>
        </is>
      </c>
      <c r="N144" t="inlineStr">
        <is>
          <t>reported</t>
        </is>
      </c>
      <c r="O144" t="inlineStr">
        <is>
          <t>百分比為該課程類別中就讀此地區的人數比例。</t>
        </is>
      </c>
    </row>
    <row r="145">
      <c r="A145" s="15" t="inlineStr">
        <is>
          <t>EDB-S6-2025</t>
        </is>
      </c>
      <c r="B145" t="inlineStr">
        <is>
          <t>2025 Survey on Destinations of Secondary 6 Graduates</t>
        </is>
      </c>
      <c r="C145" t="inlineStr">
        <is>
          <t>2.3</t>
        </is>
      </c>
      <c r="D145" t="inlineStr">
        <is>
          <t>14</t>
        </is>
      </c>
      <c r="E145" t="inlineStr">
        <is>
          <t>19</t>
        </is>
      </c>
      <c r="F145" t="inlineStr">
        <is>
          <t>2025-10</t>
        </is>
      </c>
      <c r="I145" t="inlineStr">
        <is>
          <t>BACHELOR</t>
        </is>
      </c>
      <c r="J145" t="inlineStr">
        <is>
          <t>英國</t>
        </is>
      </c>
      <c r="K145" t="inlineStr">
        <is>
          <t>429</t>
        </is>
      </c>
      <c r="L145" t="inlineStr">
        <is>
          <t>17.9</t>
        </is>
      </c>
      <c r="M145" t="inlineStr">
        <is>
          <t>2394</t>
        </is>
      </c>
      <c r="N145" t="inlineStr">
        <is>
          <t>reported</t>
        </is>
      </c>
      <c r="O145" t="inlineStr">
        <is>
          <t>百分比為該課程類別中就讀此地區的人數比例。</t>
        </is>
      </c>
    </row>
    <row r="146">
      <c r="A146" s="15" t="inlineStr">
        <is>
          <t>EDB-S6-2025</t>
        </is>
      </c>
      <c r="B146" t="inlineStr">
        <is>
          <t>2025 Survey on Destinations of Secondary 6 Graduates</t>
        </is>
      </c>
      <c r="C146" t="inlineStr">
        <is>
          <t>2.3</t>
        </is>
      </c>
      <c r="D146" t="inlineStr">
        <is>
          <t>14</t>
        </is>
      </c>
      <c r="E146" t="inlineStr">
        <is>
          <t>19</t>
        </is>
      </c>
      <c r="F146" t="inlineStr">
        <is>
          <t>2025-10</t>
        </is>
      </c>
      <c r="I146" t="inlineStr">
        <is>
          <t>OTHER_FULL_TIME</t>
        </is>
      </c>
      <c r="J146" t="inlineStr">
        <is>
          <t>中國內地</t>
        </is>
      </c>
      <c r="K146" t="inlineStr">
        <is>
          <t>16</t>
        </is>
      </c>
      <c r="L146" t="inlineStr">
        <is>
          <t>17.6</t>
        </is>
      </c>
      <c r="M146" t="inlineStr">
        <is>
          <t>91</t>
        </is>
      </c>
      <c r="N146" t="inlineStr">
        <is>
          <t>reported</t>
        </is>
      </c>
      <c r="O146" t="inlineStr">
        <is>
          <t>百分比為該課程類別中就讀此地區的人數比例。</t>
        </is>
      </c>
    </row>
    <row r="147">
      <c r="A147" s="15" t="inlineStr">
        <is>
          <t>EDB-S6-2025</t>
        </is>
      </c>
      <c r="B147" t="inlineStr">
        <is>
          <t>2025 Survey on Destinations of Secondary 6 Graduates</t>
        </is>
      </c>
      <c r="C147" t="inlineStr">
        <is>
          <t>2.3</t>
        </is>
      </c>
      <c r="D147" t="inlineStr">
        <is>
          <t>14</t>
        </is>
      </c>
      <c r="E147" t="inlineStr">
        <is>
          <t>19</t>
        </is>
      </c>
      <c r="F147" t="inlineStr">
        <is>
          <t>2025-10</t>
        </is>
      </c>
      <c r="I147" t="inlineStr">
        <is>
          <t>OTHER_FULL_TIME</t>
        </is>
      </c>
      <c r="J147" t="inlineStr">
        <is>
          <t>其他</t>
        </is>
      </c>
      <c r="K147" t="inlineStr">
        <is>
          <t>48</t>
        </is>
      </c>
      <c r="L147" t="inlineStr">
        <is>
          <t>52.7</t>
        </is>
      </c>
      <c r="M147" t="inlineStr">
        <is>
          <t>91</t>
        </is>
      </c>
      <c r="N147" t="inlineStr">
        <is>
          <t>reported</t>
        </is>
      </c>
      <c r="O147" t="inlineStr">
        <is>
          <t>百分比為該課程類別中就讀此地區的人數比例。</t>
        </is>
      </c>
    </row>
    <row r="148">
      <c r="A148" s="15" t="inlineStr">
        <is>
          <t>EDB-S6-2025</t>
        </is>
      </c>
      <c r="B148" t="inlineStr">
        <is>
          <t>2025 Survey on Destinations of Secondary 6 Graduates</t>
        </is>
      </c>
      <c r="C148" t="inlineStr">
        <is>
          <t>2.3</t>
        </is>
      </c>
      <c r="D148" t="inlineStr">
        <is>
          <t>14</t>
        </is>
      </c>
      <c r="E148" t="inlineStr">
        <is>
          <t>19</t>
        </is>
      </c>
      <c r="F148" t="inlineStr">
        <is>
          <t>2025-10</t>
        </is>
      </c>
      <c r="I148" t="inlineStr">
        <is>
          <t>OTHER_FULL_TIME</t>
        </is>
      </c>
      <c r="J148" t="inlineStr">
        <is>
          <t>加拿大</t>
        </is>
      </c>
      <c r="K148" t="inlineStr">
        <is>
          <t>**</t>
        </is>
      </c>
      <c r="L148" t="inlineStr">
        <is>
          <t>**</t>
        </is>
      </c>
      <c r="M148" t="inlineStr">
        <is>
          <t>91</t>
        </is>
      </c>
      <c r="N148" t="inlineStr">
        <is>
          <t>suppressed_privacy</t>
        </is>
      </c>
      <c r="O148" t="inlineStr">
        <is>
          <t>**：教育局為保障個別畢業生資料而不公布。</t>
        </is>
      </c>
    </row>
    <row r="149">
      <c r="A149" s="15" t="inlineStr">
        <is>
          <t>EDB-S6-2025</t>
        </is>
      </c>
      <c r="B149" t="inlineStr">
        <is>
          <t>2025 Survey on Destinations of Secondary 6 Graduates</t>
        </is>
      </c>
      <c r="C149" t="inlineStr">
        <is>
          <t>2.3</t>
        </is>
      </c>
      <c r="D149" t="inlineStr">
        <is>
          <t>14</t>
        </is>
      </c>
      <c r="E149" t="inlineStr">
        <is>
          <t>19</t>
        </is>
      </c>
      <c r="F149" t="inlineStr">
        <is>
          <t>2025-10</t>
        </is>
      </c>
      <c r="I149" t="inlineStr">
        <is>
          <t>OTHER_FULL_TIME</t>
        </is>
      </c>
      <c r="J149" t="inlineStr">
        <is>
          <t>台灣</t>
        </is>
      </c>
      <c r="K149" t="inlineStr">
        <is>
          <t>**</t>
        </is>
      </c>
      <c r="L149" t="inlineStr">
        <is>
          <t>**</t>
        </is>
      </c>
      <c r="M149" t="inlineStr">
        <is>
          <t>91</t>
        </is>
      </c>
      <c r="N149" t="inlineStr">
        <is>
          <t>suppressed_privacy</t>
        </is>
      </c>
      <c r="O149" t="inlineStr">
        <is>
          <t>**：教育局為保障個別畢業生資料而不公布。</t>
        </is>
      </c>
    </row>
    <row r="150">
      <c r="A150" s="15" t="inlineStr">
        <is>
          <t>EDB-S6-2025</t>
        </is>
      </c>
      <c r="B150" t="inlineStr">
        <is>
          <t>2025 Survey on Destinations of Secondary 6 Graduates</t>
        </is>
      </c>
      <c r="C150" t="inlineStr">
        <is>
          <t>2.3</t>
        </is>
      </c>
      <c r="D150" t="inlineStr">
        <is>
          <t>14</t>
        </is>
      </c>
      <c r="E150" t="inlineStr">
        <is>
          <t>19</t>
        </is>
      </c>
      <c r="F150" t="inlineStr">
        <is>
          <t>2025-10</t>
        </is>
      </c>
      <c r="I150" t="inlineStr">
        <is>
          <t>OTHER_FULL_TIME</t>
        </is>
      </c>
      <c r="J150" t="inlineStr">
        <is>
          <t>澳洲</t>
        </is>
      </c>
      <c r="K150" t="inlineStr">
        <is>
          <t>10</t>
        </is>
      </c>
      <c r="L150" t="inlineStr">
        <is>
          <t>11.0</t>
        </is>
      </c>
      <c r="M150" t="inlineStr">
        <is>
          <t>91</t>
        </is>
      </c>
      <c r="N150" t="inlineStr">
        <is>
          <t>reported</t>
        </is>
      </c>
      <c r="O150" t="inlineStr">
        <is>
          <t>百分比為該課程類別中就讀此地區的人數比例。</t>
        </is>
      </c>
    </row>
    <row r="151">
      <c r="A151" s="15" t="inlineStr">
        <is>
          <t>EDB-S6-2025</t>
        </is>
      </c>
      <c r="B151" t="inlineStr">
        <is>
          <t>2025 Survey on Destinations of Secondary 6 Graduates</t>
        </is>
      </c>
      <c r="C151" t="inlineStr">
        <is>
          <t>2.3</t>
        </is>
      </c>
      <c r="D151" t="inlineStr">
        <is>
          <t>14</t>
        </is>
      </c>
      <c r="E151" t="inlineStr">
        <is>
          <t>19</t>
        </is>
      </c>
      <c r="F151" t="inlineStr">
        <is>
          <t>2025-10</t>
        </is>
      </c>
      <c r="I151" t="inlineStr">
        <is>
          <t>OTHER_FULL_TIME</t>
        </is>
      </c>
      <c r="J151" t="inlineStr">
        <is>
          <t>總數</t>
        </is>
      </c>
      <c r="K151" t="inlineStr">
        <is>
          <t>91</t>
        </is>
      </c>
      <c r="L151" t="inlineStr">
        <is>
          <t>100.0</t>
        </is>
      </c>
      <c r="M151" t="inlineStr">
        <is>
          <t>91</t>
        </is>
      </c>
      <c r="N151" t="inlineStr">
        <is>
          <t>reported</t>
        </is>
      </c>
      <c r="O151" t="inlineStr">
        <is>
          <t>百分比為該課程類別中就讀此地區的人數比例。</t>
        </is>
      </c>
    </row>
    <row r="152">
      <c r="A152" s="15" t="inlineStr">
        <is>
          <t>EDB-S6-2025</t>
        </is>
      </c>
      <c r="B152" t="inlineStr">
        <is>
          <t>2025 Survey on Destinations of Secondary 6 Graduates</t>
        </is>
      </c>
      <c r="C152" t="inlineStr">
        <is>
          <t>2.3</t>
        </is>
      </c>
      <c r="D152" t="inlineStr">
        <is>
          <t>14</t>
        </is>
      </c>
      <c r="E152" t="inlineStr">
        <is>
          <t>19</t>
        </is>
      </c>
      <c r="F152" t="inlineStr">
        <is>
          <t>2025-10</t>
        </is>
      </c>
      <c r="I152" t="inlineStr">
        <is>
          <t>OTHER_FULL_TIME</t>
        </is>
      </c>
      <c r="J152" t="inlineStr">
        <is>
          <t>美國</t>
        </is>
      </c>
      <c r="K152" t="inlineStr">
        <is>
          <t>**</t>
        </is>
      </c>
      <c r="L152" t="inlineStr">
        <is>
          <t>**</t>
        </is>
      </c>
      <c r="M152" t="inlineStr">
        <is>
          <t>91</t>
        </is>
      </c>
      <c r="N152" t="inlineStr">
        <is>
          <t>suppressed_privacy</t>
        </is>
      </c>
      <c r="O152" t="inlineStr">
        <is>
          <t>**：教育局為保障個別畢業生資料而不公布。</t>
        </is>
      </c>
    </row>
    <row r="153">
      <c r="A153" s="15" t="inlineStr">
        <is>
          <t>EDB-S6-2025</t>
        </is>
      </c>
      <c r="B153" t="inlineStr">
        <is>
          <t>2025 Survey on Destinations of Secondary 6 Graduates</t>
        </is>
      </c>
      <c r="C153" t="inlineStr">
        <is>
          <t>2.3</t>
        </is>
      </c>
      <c r="D153" t="inlineStr">
        <is>
          <t>14</t>
        </is>
      </c>
      <c r="E153" t="inlineStr">
        <is>
          <t>19</t>
        </is>
      </c>
      <c r="F153" t="inlineStr">
        <is>
          <t>2025-10</t>
        </is>
      </c>
      <c r="I153" t="inlineStr">
        <is>
          <t>OTHER_FULL_TIME</t>
        </is>
      </c>
      <c r="J153" t="inlineStr">
        <is>
          <t>英國</t>
        </is>
      </c>
      <c r="K153" t="inlineStr">
        <is>
          <t>8</t>
        </is>
      </c>
      <c r="L153" t="inlineStr">
        <is>
          <t>8.8</t>
        </is>
      </c>
      <c r="M153" t="inlineStr">
        <is>
          <t>91</t>
        </is>
      </c>
      <c r="N153" t="inlineStr">
        <is>
          <t>reported</t>
        </is>
      </c>
      <c r="O153" t="inlineStr">
        <is>
          <t>百分比為該課程類別中就讀此地區的人數比例。</t>
        </is>
      </c>
    </row>
    <row r="154">
      <c r="A154" s="15" t="inlineStr">
        <is>
          <t>EDB-S6-2025</t>
        </is>
      </c>
      <c r="B154" t="inlineStr">
        <is>
          <t>2025 Survey on Destinations of Secondary 6 Graduates</t>
        </is>
      </c>
      <c r="C154" t="inlineStr">
        <is>
          <t>2.3</t>
        </is>
      </c>
      <c r="D154" t="inlineStr">
        <is>
          <t>14</t>
        </is>
      </c>
      <c r="E154" t="inlineStr">
        <is>
          <t>19</t>
        </is>
      </c>
      <c r="F154" t="inlineStr">
        <is>
          <t>2025-10</t>
        </is>
      </c>
      <c r="I154" t="inlineStr">
        <is>
          <t>POSTSECONDARY</t>
        </is>
      </c>
      <c r="J154" t="inlineStr">
        <is>
          <t>中國內地</t>
        </is>
      </c>
      <c r="K154" t="inlineStr">
        <is>
          <t>33</t>
        </is>
      </c>
      <c r="L154" t="inlineStr">
        <is>
          <t>17.7</t>
        </is>
      </c>
      <c r="M154" t="inlineStr">
        <is>
          <t>186</t>
        </is>
      </c>
      <c r="N154" t="inlineStr">
        <is>
          <t>reported</t>
        </is>
      </c>
      <c r="O154" t="inlineStr">
        <is>
          <t>百分比為該課程類別中就讀此地區的人數比例。</t>
        </is>
      </c>
    </row>
    <row r="155">
      <c r="A155" s="15" t="inlineStr">
        <is>
          <t>EDB-S6-2025</t>
        </is>
      </c>
      <c r="B155" t="inlineStr">
        <is>
          <t>2025 Survey on Destinations of Secondary 6 Graduates</t>
        </is>
      </c>
      <c r="C155" t="inlineStr">
        <is>
          <t>2.3</t>
        </is>
      </c>
      <c r="D155" t="inlineStr">
        <is>
          <t>14</t>
        </is>
      </c>
      <c r="E155" t="inlineStr">
        <is>
          <t>19</t>
        </is>
      </c>
      <c r="F155" t="inlineStr">
        <is>
          <t>2025-10</t>
        </is>
      </c>
      <c r="I155" t="inlineStr">
        <is>
          <t>POSTSECONDARY</t>
        </is>
      </c>
      <c r="J155" t="inlineStr">
        <is>
          <t>其他</t>
        </is>
      </c>
      <c r="K155" t="inlineStr">
        <is>
          <t>27</t>
        </is>
      </c>
      <c r="L155" t="inlineStr">
        <is>
          <t>14.5</t>
        </is>
      </c>
      <c r="M155" t="inlineStr">
        <is>
          <t>186</t>
        </is>
      </c>
      <c r="N155" t="inlineStr">
        <is>
          <t>reported</t>
        </is>
      </c>
      <c r="O155" t="inlineStr">
        <is>
          <t>百分比為該課程類別中就讀此地區的人數比例。</t>
        </is>
      </c>
    </row>
    <row r="156">
      <c r="A156" s="15" t="inlineStr">
        <is>
          <t>EDB-S6-2025</t>
        </is>
      </c>
      <c r="B156" t="inlineStr">
        <is>
          <t>2025 Survey on Destinations of Secondary 6 Graduates</t>
        </is>
      </c>
      <c r="C156" t="inlineStr">
        <is>
          <t>2.3</t>
        </is>
      </c>
      <c r="D156" t="inlineStr">
        <is>
          <t>14</t>
        </is>
      </c>
      <c r="E156" t="inlineStr">
        <is>
          <t>19</t>
        </is>
      </c>
      <c r="F156" t="inlineStr">
        <is>
          <t>2025-10</t>
        </is>
      </c>
      <c r="I156" t="inlineStr">
        <is>
          <t>POSTSECONDARY</t>
        </is>
      </c>
      <c r="J156" t="inlineStr">
        <is>
          <t>加拿大</t>
        </is>
      </c>
      <c r="K156" t="inlineStr">
        <is>
          <t>**</t>
        </is>
      </c>
      <c r="L156" t="inlineStr">
        <is>
          <t>**</t>
        </is>
      </c>
      <c r="M156" t="inlineStr">
        <is>
          <t>186</t>
        </is>
      </c>
      <c r="N156" t="inlineStr">
        <is>
          <t>suppressed_privacy</t>
        </is>
      </c>
      <c r="O156" t="inlineStr">
        <is>
          <t>**：教育局為保障個別畢業生資料而不公布。</t>
        </is>
      </c>
    </row>
    <row r="157">
      <c r="A157" s="15" t="inlineStr">
        <is>
          <t>EDB-S6-2025</t>
        </is>
      </c>
      <c r="B157" t="inlineStr">
        <is>
          <t>2025 Survey on Destinations of Secondary 6 Graduates</t>
        </is>
      </c>
      <c r="C157" t="inlineStr">
        <is>
          <t>2.3</t>
        </is>
      </c>
      <c r="D157" t="inlineStr">
        <is>
          <t>14</t>
        </is>
      </c>
      <c r="E157" t="inlineStr">
        <is>
          <t>19</t>
        </is>
      </c>
      <c r="F157" t="inlineStr">
        <is>
          <t>2025-10</t>
        </is>
      </c>
      <c r="I157" t="inlineStr">
        <is>
          <t>POSTSECONDARY</t>
        </is>
      </c>
      <c r="J157" t="inlineStr">
        <is>
          <t>台灣</t>
        </is>
      </c>
      <c r="K157" t="inlineStr">
        <is>
          <t>**</t>
        </is>
      </c>
      <c r="L157" t="inlineStr">
        <is>
          <t>**</t>
        </is>
      </c>
      <c r="M157" t="inlineStr">
        <is>
          <t>186</t>
        </is>
      </c>
      <c r="N157" t="inlineStr">
        <is>
          <t>suppressed_privacy</t>
        </is>
      </c>
      <c r="O157" t="inlineStr">
        <is>
          <t>**：教育局為保障個別畢業生資料而不公布。</t>
        </is>
      </c>
    </row>
    <row r="158">
      <c r="A158" s="15" t="inlineStr">
        <is>
          <t>EDB-S6-2025</t>
        </is>
      </c>
      <c r="B158" t="inlineStr">
        <is>
          <t>2025 Survey on Destinations of Secondary 6 Graduates</t>
        </is>
      </c>
      <c r="C158" t="inlineStr">
        <is>
          <t>2.3</t>
        </is>
      </c>
      <c r="D158" t="inlineStr">
        <is>
          <t>14</t>
        </is>
      </c>
      <c r="E158" t="inlineStr">
        <is>
          <t>19</t>
        </is>
      </c>
      <c r="F158" t="inlineStr">
        <is>
          <t>2025-10</t>
        </is>
      </c>
      <c r="I158" t="inlineStr">
        <is>
          <t>POSTSECONDARY</t>
        </is>
      </c>
      <c r="J158" t="inlineStr">
        <is>
          <t>澳洲</t>
        </is>
      </c>
      <c r="K158" t="inlineStr">
        <is>
          <t>60</t>
        </is>
      </c>
      <c r="L158" t="inlineStr">
        <is>
          <t>32.3</t>
        </is>
      </c>
      <c r="M158" t="inlineStr">
        <is>
          <t>186</t>
        </is>
      </c>
      <c r="N158" t="inlineStr">
        <is>
          <t>reported</t>
        </is>
      </c>
      <c r="O158" t="inlineStr">
        <is>
          <t>百分比為該課程類別中就讀此地區的人數比例。</t>
        </is>
      </c>
    </row>
    <row r="159">
      <c r="A159" s="15" t="inlineStr">
        <is>
          <t>EDB-S6-2025</t>
        </is>
      </c>
      <c r="B159" t="inlineStr">
        <is>
          <t>2025 Survey on Destinations of Secondary 6 Graduates</t>
        </is>
      </c>
      <c r="C159" t="inlineStr">
        <is>
          <t>2.3</t>
        </is>
      </c>
      <c r="D159" t="inlineStr">
        <is>
          <t>14</t>
        </is>
      </c>
      <c r="E159" t="inlineStr">
        <is>
          <t>19</t>
        </is>
      </c>
      <c r="F159" t="inlineStr">
        <is>
          <t>2025-10</t>
        </is>
      </c>
      <c r="I159" t="inlineStr">
        <is>
          <t>POSTSECONDARY</t>
        </is>
      </c>
      <c r="J159" t="inlineStr">
        <is>
          <t>總數</t>
        </is>
      </c>
      <c r="K159" t="inlineStr">
        <is>
          <t>186</t>
        </is>
      </c>
      <c r="L159" t="inlineStr">
        <is>
          <t>100.0</t>
        </is>
      </c>
      <c r="M159" t="inlineStr">
        <is>
          <t>186</t>
        </is>
      </c>
      <c r="N159" t="inlineStr">
        <is>
          <t>reported</t>
        </is>
      </c>
      <c r="O159" t="inlineStr">
        <is>
          <t>百分比為該課程類別中就讀此地區的人數比例。</t>
        </is>
      </c>
    </row>
    <row r="160">
      <c r="A160" s="15" t="inlineStr">
        <is>
          <t>EDB-S6-2025</t>
        </is>
      </c>
      <c r="B160" t="inlineStr">
        <is>
          <t>2025 Survey on Destinations of Secondary 6 Graduates</t>
        </is>
      </c>
      <c r="C160" t="inlineStr">
        <is>
          <t>2.3</t>
        </is>
      </c>
      <c r="D160" t="inlineStr">
        <is>
          <t>14</t>
        </is>
      </c>
      <c r="E160" t="inlineStr">
        <is>
          <t>19</t>
        </is>
      </c>
      <c r="F160" t="inlineStr">
        <is>
          <t>2025-10</t>
        </is>
      </c>
      <c r="I160" t="inlineStr">
        <is>
          <t>POSTSECONDARY</t>
        </is>
      </c>
      <c r="J160" t="inlineStr">
        <is>
          <t>美國</t>
        </is>
      </c>
      <c r="K160" t="inlineStr">
        <is>
          <t>**</t>
        </is>
      </c>
      <c r="L160" t="inlineStr">
        <is>
          <t>**</t>
        </is>
      </c>
      <c r="M160" t="inlineStr">
        <is>
          <t>186</t>
        </is>
      </c>
      <c r="N160" t="inlineStr">
        <is>
          <t>suppressed_privacy</t>
        </is>
      </c>
      <c r="O160" t="inlineStr">
        <is>
          <t>**：教育局為保障個別畢業生資料而不公布。</t>
        </is>
      </c>
    </row>
    <row r="161">
      <c r="A161" s="15" t="inlineStr">
        <is>
          <t>EDB-S6-2025</t>
        </is>
      </c>
      <c r="B161" t="inlineStr">
        <is>
          <t>2025 Survey on Destinations of Secondary 6 Graduates</t>
        </is>
      </c>
      <c r="C161" t="inlineStr">
        <is>
          <t>2.3</t>
        </is>
      </c>
      <c r="D161" t="inlineStr">
        <is>
          <t>14</t>
        </is>
      </c>
      <c r="E161" t="inlineStr">
        <is>
          <t>19</t>
        </is>
      </c>
      <c r="F161" t="inlineStr">
        <is>
          <t>2025-10</t>
        </is>
      </c>
      <c r="I161" t="inlineStr">
        <is>
          <t>POSTSECONDARY</t>
        </is>
      </c>
      <c r="J161" t="inlineStr">
        <is>
          <t>英國</t>
        </is>
      </c>
      <c r="K161" t="inlineStr">
        <is>
          <t>43</t>
        </is>
      </c>
      <c r="L161" t="inlineStr">
        <is>
          <t>23.1</t>
        </is>
      </c>
      <c r="M161" t="inlineStr">
        <is>
          <t>186</t>
        </is>
      </c>
      <c r="N161" t="inlineStr">
        <is>
          <t>reported</t>
        </is>
      </c>
      <c r="O161" t="inlineStr">
        <is>
          <t>百分比為該課程類別中就讀此地區的人數比例。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8" customWidth="1" min="4" max="4"/>
    <col width="16" customWidth="1" min="5" max="5"/>
    <col width="24" customWidth="1" min="6" max="6"/>
    <col width="20" customWidth="1" min="7" max="7"/>
    <col width="22" customWidth="1" min="8" max="8"/>
    <col width="18" customWidth="1" min="9" max="9"/>
    <col width="16" customWidth="1" min="10" max="10"/>
    <col width="68" customWidth="1" min="11" max="11"/>
    <col width="72" customWidth="1" min="12" max="12"/>
    <col width="72" customWidth="1" min="13" max="13"/>
  </cols>
  <sheetData>
    <row r="1">
      <c r="A1" s="14" t="inlineStr">
        <is>
          <t>source_id</t>
        </is>
      </c>
      <c r="B1" s="14" t="inlineStr">
        <is>
          <t>survey_year</t>
        </is>
      </c>
      <c r="C1" s="14" t="inlineStr">
        <is>
          <t>graduate_cohort</t>
        </is>
      </c>
      <c r="D1" s="14" t="inlineStr">
        <is>
          <t>reference_period</t>
        </is>
      </c>
      <c r="E1" s="14" t="inlineStr">
        <is>
          <t>school_count</t>
        </is>
      </c>
      <c r="F1" t="inlineStr">
        <is>
          <t>target_graduates_approx</t>
        </is>
      </c>
      <c r="G1" t="inlineStr">
        <is>
          <t>respondents_exact</t>
        </is>
      </c>
      <c r="H1" t="inlineStr">
        <is>
          <t>response_rate_reported</t>
        </is>
      </c>
      <c r="I1" t="inlineStr">
        <is>
          <t>printed_pages</t>
        </is>
      </c>
      <c r="J1" t="inlineStr">
        <is>
          <t>pdf_pages</t>
        </is>
      </c>
      <c r="K1" t="inlineStr">
        <is>
          <t>coverage</t>
        </is>
      </c>
      <c r="L1" t="inlineStr">
        <is>
          <t>nonresponse_limitation</t>
        </is>
      </c>
      <c r="M1" t="inlineStr">
        <is>
          <t>notes</t>
        </is>
      </c>
    </row>
    <row r="2" ht="36" customHeight="1">
      <c r="A2" s="15" t="inlineStr">
        <is>
          <t>EDB-S6-2021</t>
        </is>
      </c>
      <c r="B2" t="n">
        <v>2021</v>
      </c>
      <c r="C2" t="inlineStr">
        <is>
          <t>2020/21</t>
        </is>
      </c>
      <c r="D2" t="inlineStr">
        <is>
          <t>2021-10</t>
        </is>
      </c>
      <c r="E2" t="n">
        <v>451</v>
      </c>
      <c r="F2" t="n">
        <v>43400</v>
      </c>
      <c r="G2" t="n">
        <v>42204</v>
      </c>
      <c r="H2" t="inlineStr">
        <is>
          <t>97.3</t>
        </is>
      </c>
      <c r="I2" t="inlineStr">
        <is>
          <t>1–3</t>
        </is>
      </c>
      <c r="J2" t="inlineStr">
        <is>
          <t>6–8</t>
        </is>
      </c>
      <c r="K2" t="inlineStr">
        <is>
          <t>提供本地課程之本地普通中學日校中六畢業生（包括官立、資助／按位津貼、提供本地課程的直資及本地私立學校）</t>
        </is>
      </c>
      <c r="L2" t="inlineStr">
        <is>
          <t>EDB指出未回應畢業生的出路狀況可能與有回應者不同；不可無條件外推至目標全體。</t>
        </is>
      </c>
      <c r="M2" t="inlineStr">
        <is>
          <t>目標人數及有回應總數在調查概述中以some／約數表示；Table 2.1列出的有回應總數作精確表格分母。</t>
        </is>
      </c>
    </row>
    <row r="3" ht="36" customHeight="1">
      <c r="A3" s="15" t="inlineStr">
        <is>
          <t>EDB-S6-2022</t>
        </is>
      </c>
      <c r="B3" t="n">
        <v>2022</v>
      </c>
      <c r="C3" t="inlineStr">
        <is>
          <t>2021/22</t>
        </is>
      </c>
      <c r="D3" t="inlineStr">
        <is>
          <t>2022-10</t>
        </is>
      </c>
      <c r="E3" t="n">
        <v>450</v>
      </c>
      <c r="F3" t="n">
        <v>42400</v>
      </c>
      <c r="G3" t="n">
        <v>41222</v>
      </c>
      <c r="H3" t="inlineStr">
        <is>
          <t>97.3</t>
        </is>
      </c>
      <c r="I3" t="inlineStr">
        <is>
          <t>1–3</t>
        </is>
      </c>
      <c r="J3" t="inlineStr">
        <is>
          <t>6–8</t>
        </is>
      </c>
      <c r="K3" t="inlineStr">
        <is>
          <t>提供本地課程之本地普通中學日校中六畢業生（包括官立、資助／按位津貼、提供本地課程的直資及本地私立學校）</t>
        </is>
      </c>
      <c r="L3" t="inlineStr">
        <is>
          <t>EDB指出未回應畢業生的出路狀況可能與有回應者不同；不可無條件外推至目標全體。</t>
        </is>
      </c>
      <c r="M3" t="inlineStr">
        <is>
          <t>目標人數及有回應總數在調查概述中以some／約數表示；Table 2.1列出的有回應總數作精確表格分母。</t>
        </is>
      </c>
    </row>
    <row r="4" ht="36" customHeight="1">
      <c r="A4" s="15" t="inlineStr">
        <is>
          <t>EDB-S6-2023</t>
        </is>
      </c>
      <c r="B4" t="n">
        <v>2023</v>
      </c>
      <c r="C4" t="inlineStr">
        <is>
          <t>2022/23</t>
        </is>
      </c>
      <c r="D4" t="inlineStr">
        <is>
          <t>2023-10</t>
        </is>
      </c>
      <c r="E4" t="n">
        <v>449</v>
      </c>
      <c r="F4" t="n">
        <v>42500</v>
      </c>
      <c r="G4" t="n">
        <v>40951</v>
      </c>
      <c r="H4" t="inlineStr">
        <is>
          <t>96.3</t>
        </is>
      </c>
      <c r="I4" t="inlineStr">
        <is>
          <t>1–3</t>
        </is>
      </c>
      <c r="J4" t="inlineStr">
        <is>
          <t>6–8</t>
        </is>
      </c>
      <c r="K4" t="inlineStr">
        <is>
          <t>提供本地課程之本地普通中學日校中六畢業生（包括官立、資助／按位津貼、提供本地課程的直資及本地私立學校）</t>
        </is>
      </c>
      <c r="L4" t="inlineStr">
        <is>
          <t>EDB指出未回應畢業生的出路狀況可能與有回應者不同；不可無條件外推至目標全體。</t>
        </is>
      </c>
      <c r="M4" t="inlineStr">
        <is>
          <t>目標人數及有回應總數在調查概述中以some／約數表示；Table 2.1列出的有回應總數作精確表格分母。</t>
        </is>
      </c>
    </row>
    <row r="5" ht="36" customHeight="1">
      <c r="A5" s="15" t="inlineStr">
        <is>
          <t>EDB-S6-2024</t>
        </is>
      </c>
      <c r="B5" t="n">
        <v>2024</v>
      </c>
      <c r="C5" t="inlineStr">
        <is>
          <t>2023/24</t>
        </is>
      </c>
      <c r="D5" t="inlineStr">
        <is>
          <t>2024-10</t>
        </is>
      </c>
      <c r="E5" t="n">
        <v>448</v>
      </c>
      <c r="F5" t="n">
        <v>42900</v>
      </c>
      <c r="G5" t="n">
        <v>41385</v>
      </c>
      <c r="H5" t="inlineStr">
        <is>
          <t>96.4</t>
        </is>
      </c>
      <c r="I5" t="inlineStr">
        <is>
          <t>1–3</t>
        </is>
      </c>
      <c r="J5" t="inlineStr">
        <is>
          <t>6–8</t>
        </is>
      </c>
      <c r="K5" t="inlineStr">
        <is>
          <t>提供本地課程之本地普通中學日校中六畢業生（包括官立、資助／按位津貼、提供本地課程的直資及本地私立學校）</t>
        </is>
      </c>
      <c r="L5" t="inlineStr">
        <is>
          <t>EDB指出未回應畢業生的出路狀況可能與有回應者不同；不可無條件外推至目標全體。</t>
        </is>
      </c>
      <c r="M5" t="inlineStr">
        <is>
          <t>目標人數及有回應總數在調查概述中以some／約數表示；Table 2.1列出的有回應總數作精確表格分母。</t>
        </is>
      </c>
    </row>
    <row r="6" ht="36" customHeight="1">
      <c r="A6" s="15" t="inlineStr">
        <is>
          <t>EDB-S6-2025</t>
        </is>
      </c>
      <c r="B6" t="n">
        <v>2025</v>
      </c>
      <c r="C6" t="inlineStr">
        <is>
          <t>2024/25</t>
        </is>
      </c>
      <c r="D6" t="inlineStr">
        <is>
          <t>2025-10</t>
        </is>
      </c>
      <c r="E6" t="n">
        <v>445</v>
      </c>
      <c r="F6" t="n">
        <v>45100</v>
      </c>
      <c r="G6" t="n">
        <v>43561</v>
      </c>
      <c r="H6" t="inlineStr">
        <is>
          <t>96.7</t>
        </is>
      </c>
      <c r="I6" t="inlineStr">
        <is>
          <t>1–3</t>
        </is>
      </c>
      <c r="J6" t="inlineStr">
        <is>
          <t>6–8</t>
        </is>
      </c>
      <c r="K6" t="inlineStr">
        <is>
          <t>提供本地課程之本地普通中學日校中六畢業生（包括官立、資助／按位津貼、提供本地課程的直資及本地私立學校）</t>
        </is>
      </c>
      <c r="L6" t="inlineStr">
        <is>
          <t>EDB指出未回應畢業生的出路狀況可能與有回應者不同；不可無條件外推至目標全體。</t>
        </is>
      </c>
      <c r="M6" t="inlineStr">
        <is>
          <t>已逐表核實；EDB目標人數約45,100，Table 2.1有回應者43,561。</t>
        </is>
      </c>
    </row>
    <row r="7" ht="36" customHeight="1"/>
    <row r="8" ht="36" customHeight="1"/>
    <row r="9" ht="36" customHeight="1"/>
    <row r="10" ht="36" customHeight="1"/>
    <row r="11" ht="36" customHeight="1"/>
    <row r="12" ht="36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70" customWidth="1" min="15" max="15"/>
  </cols>
  <sheetData>
    <row r="1">
      <c r="A1" t="inlineStr">
        <is>
          <t>survey_year</t>
        </is>
      </c>
      <c r="B1" t="inlineStr">
        <is>
          <t>graduate_cohort</t>
        </is>
      </c>
      <c r="C1" t="inlineStr">
        <is>
          <t>reference_period</t>
        </is>
      </c>
      <c r="D1" t="inlineStr">
        <is>
          <t>report_publication</t>
        </is>
      </c>
      <c r="E1" t="inlineStr">
        <is>
          <t>table_2_1_scope</t>
        </is>
      </c>
      <c r="F1" t="inlineStr">
        <is>
          <t>table_2_2_label</t>
        </is>
      </c>
      <c r="G1" t="inlineStr">
        <is>
          <t>table_2_3_scope</t>
        </is>
      </c>
      <c r="H1" t="inlineStr">
        <is>
          <t>chart_2_2_pair</t>
        </is>
      </c>
      <c r="I1" t="inlineStr">
        <is>
          <t>chart_2_4_pair</t>
        </is>
      </c>
      <c r="J1" t="inlineStr">
        <is>
          <t>chart_2_6_pair</t>
        </is>
      </c>
      <c r="K1" t="inlineStr">
        <is>
          <t>distribution_label</t>
        </is>
      </c>
      <c r="L1" t="inlineStr">
        <is>
          <t>source_id</t>
        </is>
      </c>
      <c r="M1" t="inlineStr">
        <is>
          <t>numeric_extraction_status</t>
        </is>
      </c>
      <c r="N1" t="inlineStr">
        <is>
          <t>comparability_status</t>
        </is>
      </c>
      <c r="O1" t="inlineStr">
        <is>
          <t>notes</t>
        </is>
      </c>
    </row>
    <row r="2">
      <c r="A2" s="15" t="inlineStr">
        <is>
          <t>2021</t>
        </is>
      </c>
      <c r="B2" t="inlineStr">
        <is>
          <t>2020/21</t>
        </is>
      </c>
      <c r="C2" t="inlineStr">
        <is>
          <t>2021-10</t>
        </is>
      </c>
      <c r="D2" t="inlineStr">
        <is>
          <t>2022-04</t>
        </is>
      </c>
      <c r="E2" t="inlineStr">
        <is>
          <t>Activity status × school sector</t>
        </is>
      </c>
      <c r="F2" t="inlineStr">
        <is>
          <t>Type of Course</t>
        </is>
      </c>
      <c r="G2" t="inlineStr">
        <is>
          <t>Outside-HK full-time study: place × course type</t>
        </is>
      </c>
      <c r="H2" t="inlineStr">
        <is>
          <t>2020, 2021</t>
        </is>
      </c>
      <c r="I2" t="inlineStr">
        <is>
          <t>2020, 2021</t>
        </is>
      </c>
      <c r="J2" t="inlineStr">
        <is>
          <t>2020, 2021</t>
        </is>
      </c>
      <c r="K2" t="inlineStr">
        <is>
          <t>Percentage Distribution</t>
        </is>
      </c>
      <c r="L2" t="inlineStr">
        <is>
          <t>EDB-S6-2021</t>
        </is>
      </c>
      <c r="M2" t="inlineStr">
        <is>
          <t>表2.1–2.3逐格轉錄；關鍵表頁視覺核對；Chart 2.5已提取</t>
        </is>
      </c>
      <c r="N2" t="inlineStr">
        <is>
          <t>活動狀態、本科／專上及目的地高層分類可比；Other full-time仍須視為定義敏感（2023起註釋改寫）</t>
        </is>
      </c>
      <c r="O2" t="inlineStr">
        <is>
          <t>第十輪；四種活動狀態的名稱見官方報告前言。 表2.2其他課程分類註釋為2021–22版本；與2023起文字不同。</t>
        </is>
      </c>
    </row>
    <row r="3">
      <c r="A3" s="15" t="inlineStr">
        <is>
          <t>2022</t>
        </is>
      </c>
      <c r="B3" t="inlineStr">
        <is>
          <t>2021/22</t>
        </is>
      </c>
      <c r="C3" t="inlineStr">
        <is>
          <t>2022-10</t>
        </is>
      </c>
      <c r="D3" t="inlineStr">
        <is>
          <t>2023-04</t>
        </is>
      </c>
      <c r="E3" t="inlineStr">
        <is>
          <t>Activity status × school sector</t>
        </is>
      </c>
      <c r="F3" t="inlineStr">
        <is>
          <t>Type of Courses</t>
        </is>
      </c>
      <c r="G3" t="inlineStr">
        <is>
          <t>Outside-HK full-time study: place × course type</t>
        </is>
      </c>
      <c r="H3" t="inlineStr">
        <is>
          <t>2021, 2022</t>
        </is>
      </c>
      <c r="I3" t="inlineStr">
        <is>
          <t>2021, 2022</t>
        </is>
      </c>
      <c r="J3" t="inlineStr">
        <is>
          <t>2021, 2022</t>
        </is>
      </c>
      <c r="K3" t="inlineStr">
        <is>
          <t>Percentage Distribution</t>
        </is>
      </c>
      <c r="L3" t="inlineStr">
        <is>
          <t>EDB-S6-2022</t>
        </is>
      </c>
      <c r="M3" t="inlineStr">
        <is>
          <t>表2.1–2.3逐格轉錄；關鍵表頁視覺核對；Chart 2.5已提取</t>
        </is>
      </c>
      <c r="N3" t="inlineStr">
        <is>
          <t>活動狀態、本科／專上及目的地高層分類可比；Other full-time仍須視為定義敏感（2023起註釋改寫）</t>
        </is>
      </c>
      <c r="O3" t="inlineStr">
        <is>
          <t>課程欄標題改為複數；不據標題推斷分類定義改變。 表2.2其他課程分類註釋為2021–22版本；與2023起文字不同。</t>
        </is>
      </c>
    </row>
    <row r="4">
      <c r="A4" s="15" t="inlineStr">
        <is>
          <t>2023</t>
        </is>
      </c>
      <c r="B4" t="inlineStr">
        <is>
          <t>2022/23</t>
        </is>
      </c>
      <c r="C4" t="inlineStr">
        <is>
          <t>2023-10</t>
        </is>
      </c>
      <c r="D4" t="inlineStr">
        <is>
          <t>2024-04</t>
        </is>
      </c>
      <c r="E4" t="inlineStr">
        <is>
          <t>Activity status × school sector</t>
        </is>
      </c>
      <c r="F4" t="inlineStr">
        <is>
          <t>Type of Programmes</t>
        </is>
      </c>
      <c r="G4" t="inlineStr">
        <is>
          <t>Outside-HK full-time study: place × programme type</t>
        </is>
      </c>
      <c r="H4" t="inlineStr">
        <is>
          <t>2022, 2023</t>
        </is>
      </c>
      <c r="I4" t="inlineStr">
        <is>
          <t>2022, 2023</t>
        </is>
      </c>
      <c r="J4" t="inlineStr">
        <is>
          <t>2022, 2023</t>
        </is>
      </c>
      <c r="K4" t="inlineStr">
        <is>
          <t>Proportion Distribution</t>
        </is>
      </c>
      <c r="L4" t="inlineStr">
        <is>
          <t>EDB-S6-2023</t>
        </is>
      </c>
      <c r="M4" t="inlineStr">
        <is>
          <t>表2.1–2.3逐格轉錄；關鍵表頁視覺核對；Chart 2.5已提取</t>
        </is>
      </c>
      <c r="N4" t="inlineStr">
        <is>
          <t>活動狀態、本科／專上及目的地高層分類可比；Other full-time自2023起有分類註釋斷點</t>
        </is>
      </c>
      <c r="O4" t="inlineStr">
        <is>
          <t>課程欄及圖表標題文字有變；需逐列crosswalk。 2023起Other full-time註釋改列Diploma of Applied Education等分類，與2021–22文字不同。</t>
        </is>
      </c>
    </row>
    <row r="5">
      <c r="A5" s="15" t="inlineStr">
        <is>
          <t>2024</t>
        </is>
      </c>
      <c r="B5" t="inlineStr">
        <is>
          <t>2023/24</t>
        </is>
      </c>
      <c r="C5" t="inlineStr">
        <is>
          <t>2024-10</t>
        </is>
      </c>
      <c r="D5" t="inlineStr">
        <is>
          <t>2025-04</t>
        </is>
      </c>
      <c r="E5" t="inlineStr">
        <is>
          <t>Activity status × school sector</t>
        </is>
      </c>
      <c r="F5" t="inlineStr">
        <is>
          <t>Type of Programmes</t>
        </is>
      </c>
      <c r="G5" t="inlineStr">
        <is>
          <t>Outside-HK full-time study: place × programme type</t>
        </is>
      </c>
      <c r="H5" t="inlineStr">
        <is>
          <t>2023, 2024</t>
        </is>
      </c>
      <c r="I5" t="inlineStr">
        <is>
          <t>2023, 2024</t>
        </is>
      </c>
      <c r="J5" t="inlineStr">
        <is>
          <t>2023, 2024</t>
        </is>
      </c>
      <c r="K5" t="inlineStr">
        <is>
          <t>Proportion Distribution</t>
        </is>
      </c>
      <c r="L5" t="inlineStr">
        <is>
          <t>EDB-S6-2024</t>
        </is>
      </c>
      <c r="M5" t="inlineStr">
        <is>
          <t>表2.1–2.3逐格轉錄；關鍵表頁視覺核對；Chart 2.5已提取</t>
        </is>
      </c>
      <c r="N5" t="inlineStr">
        <is>
          <t>活動狀態、本科／專上及目的地高層分類可比；Other full-time自2023起有分類註釋斷點</t>
        </is>
      </c>
      <c r="O5" t="inlineStr">
        <is>
          <t>官方報告持續提供相鄰屆別比較圖。 2023起Other full-time註釋改列Diploma of Applied Education等分類，與2021–22文字不同。</t>
        </is>
      </c>
    </row>
    <row r="6">
      <c r="A6" s="15" t="inlineStr">
        <is>
          <t>2025</t>
        </is>
      </c>
      <c r="B6" t="inlineStr">
        <is>
          <t>2024/25</t>
        </is>
      </c>
      <c r="C6" t="inlineStr">
        <is>
          <t>2025-10</t>
        </is>
      </c>
      <c r="D6" t="inlineStr">
        <is>
          <t>2026-04</t>
        </is>
      </c>
      <c r="E6" t="inlineStr">
        <is>
          <t>Activity status × school sector</t>
        </is>
      </c>
      <c r="F6" t="inlineStr">
        <is>
          <t>Type of Programmes</t>
        </is>
      </c>
      <c r="G6" t="inlineStr">
        <is>
          <t>Outside-HK full-time study: place × programme type</t>
        </is>
      </c>
      <c r="H6" t="inlineStr">
        <is>
          <t>2024, 2025</t>
        </is>
      </c>
      <c r="I6" t="inlineStr">
        <is>
          <t>2024, 2025</t>
        </is>
      </c>
      <c r="J6" t="inlineStr">
        <is>
          <t>2024, 2025</t>
        </is>
      </c>
      <c r="K6" t="inlineStr">
        <is>
          <t>Proportion Distribution</t>
        </is>
      </c>
      <c r="L6" t="inlineStr">
        <is>
          <t>EDB-S6-2025</t>
        </is>
      </c>
      <c r="M6" t="inlineStr">
        <is>
          <t>表2.1–2.3及Chart 2.5已逐表抽取並視覺覆核</t>
        </is>
      </c>
      <c r="N6" t="inlineStr">
        <is>
          <t>最新基準；舊年度待同法核對</t>
        </is>
      </c>
      <c r="O6" t="inlineStr">
        <is>
          <t>本列只作結構基準，不將2025比例外推至舊年度。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8" customWidth="1" min="10" max="10"/>
  </cols>
  <sheetData>
    <row r="1">
      <c r="A1" t="inlineStr">
        <is>
          <t>source_id</t>
        </is>
      </c>
      <c r="B1" t="inlineStr">
        <is>
          <t>survey_year</t>
        </is>
      </c>
      <c r="C1" t="inlineStr">
        <is>
          <t>reference_period</t>
        </is>
      </c>
      <c r="D1" t="inlineStr">
        <is>
          <t>destination</t>
        </is>
      </c>
      <c r="E1" t="inlineStr">
        <is>
          <t>count_reported</t>
        </is>
      </c>
      <c r="F1" t="inlineStr">
        <is>
          <t>proportion_reported</t>
        </is>
      </c>
      <c r="G1" t="inlineStr">
        <is>
          <t>denominator</t>
        </is>
      </c>
      <c r="H1" t="inlineStr">
        <is>
          <t>printed_page</t>
        </is>
      </c>
      <c r="I1" t="inlineStr">
        <is>
          <t>pdf_page</t>
        </is>
      </c>
      <c r="J1" t="inlineStr">
        <is>
          <t>notes</t>
        </is>
      </c>
    </row>
    <row r="2">
      <c r="A2" s="15" t="inlineStr">
        <is>
          <t>EDB-S6-2021</t>
        </is>
      </c>
      <c r="B2" t="n">
        <v>2021</v>
      </c>
      <c r="C2" t="inlineStr">
        <is>
          <t>2021-10</t>
        </is>
      </c>
      <c r="D2" t="inlineStr">
        <is>
          <t>香港以外</t>
        </is>
      </c>
      <c r="E2" t="n">
        <v>5645</v>
      </c>
      <c r="F2" t="inlineStr">
        <is>
          <t>14.3</t>
        </is>
      </c>
      <c r="G2" t="n">
        <v>39531</v>
      </c>
      <c r="H2" t="inlineStr">
        <is>
          <t>11</t>
        </is>
      </c>
      <c r="I2" t="inlineStr">
        <is>
          <t>16</t>
        </is>
      </c>
      <c r="J2" t="inlineStr">
        <is>
          <t>分母為Table 2.1全日制求學者；原始圖表Chart 2.5。</t>
        </is>
      </c>
    </row>
    <row r="3">
      <c r="A3" s="15" t="inlineStr">
        <is>
          <t>EDB-S6-2021</t>
        </is>
      </c>
      <c r="B3" t="n">
        <v>2021</v>
      </c>
      <c r="C3" t="inlineStr">
        <is>
          <t>2021-10</t>
        </is>
      </c>
      <c r="D3" t="inlineStr">
        <is>
          <t>香港</t>
        </is>
      </c>
      <c r="E3" t="n">
        <v>33886</v>
      </c>
      <c r="F3" t="inlineStr">
        <is>
          <t>85.7</t>
        </is>
      </c>
      <c r="G3" t="n">
        <v>39531</v>
      </c>
      <c r="H3" t="inlineStr">
        <is>
          <t>11</t>
        </is>
      </c>
      <c r="I3" t="inlineStr">
        <is>
          <t>16</t>
        </is>
      </c>
      <c r="J3" t="inlineStr">
        <is>
          <t>分母為Table 2.1全日制求學者；原始圖表Chart 2.5。</t>
        </is>
      </c>
    </row>
    <row r="4">
      <c r="A4" s="15" t="inlineStr">
        <is>
          <t>EDB-S6-2022</t>
        </is>
      </c>
      <c r="B4" t="n">
        <v>2022</v>
      </c>
      <c r="C4" t="inlineStr">
        <is>
          <t>2022-10</t>
        </is>
      </c>
      <c r="D4" t="inlineStr">
        <is>
          <t>香港以外</t>
        </is>
      </c>
      <c r="E4" t="n">
        <v>4789</v>
      </c>
      <c r="F4" t="inlineStr">
        <is>
          <t>12.4</t>
        </is>
      </c>
      <c r="G4" t="n">
        <v>38610</v>
      </c>
      <c r="H4" t="inlineStr">
        <is>
          <t>11</t>
        </is>
      </c>
      <c r="I4" t="inlineStr">
        <is>
          <t>16</t>
        </is>
      </c>
      <c r="J4" t="inlineStr">
        <is>
          <t>分母為Table 2.1全日制求學者；原始圖表Chart 2.5。</t>
        </is>
      </c>
    </row>
    <row r="5">
      <c r="A5" s="15" t="inlineStr">
        <is>
          <t>EDB-S6-2022</t>
        </is>
      </c>
      <c r="B5" t="n">
        <v>2022</v>
      </c>
      <c r="C5" t="inlineStr">
        <is>
          <t>2022-10</t>
        </is>
      </c>
      <c r="D5" t="inlineStr">
        <is>
          <t>香港</t>
        </is>
      </c>
      <c r="E5" t="n">
        <v>33821</v>
      </c>
      <c r="F5" t="inlineStr">
        <is>
          <t>87.6</t>
        </is>
      </c>
      <c r="G5" t="n">
        <v>38610</v>
      </c>
      <c r="H5" t="inlineStr">
        <is>
          <t>11</t>
        </is>
      </c>
      <c r="I5" t="inlineStr">
        <is>
          <t>16</t>
        </is>
      </c>
      <c r="J5" t="inlineStr">
        <is>
          <t>分母為Table 2.1全日制求學者；原始圖表Chart 2.5。</t>
        </is>
      </c>
    </row>
    <row r="6">
      <c r="A6" s="15" t="inlineStr">
        <is>
          <t>EDB-S6-2023</t>
        </is>
      </c>
      <c r="B6" t="n">
        <v>2023</v>
      </c>
      <c r="C6" t="inlineStr">
        <is>
          <t>2023-10</t>
        </is>
      </c>
      <c r="D6" t="inlineStr">
        <is>
          <t>香港以外</t>
        </is>
      </c>
      <c r="E6" t="n">
        <v>3609</v>
      </c>
      <c r="F6" t="inlineStr">
        <is>
          <t>9.4</t>
        </is>
      </c>
      <c r="G6" t="n">
        <v>38598</v>
      </c>
      <c r="H6" t="inlineStr">
        <is>
          <t>11</t>
        </is>
      </c>
      <c r="I6" t="inlineStr">
        <is>
          <t>16</t>
        </is>
      </c>
      <c r="J6" t="inlineStr">
        <is>
          <t>分母為Table 2.1全日制求學者；原始圖表Chart 2.5。</t>
        </is>
      </c>
    </row>
    <row r="7">
      <c r="A7" s="15" t="inlineStr">
        <is>
          <t>EDB-S6-2023</t>
        </is>
      </c>
      <c r="B7" t="n">
        <v>2023</v>
      </c>
      <c r="C7" t="inlineStr">
        <is>
          <t>2023-10</t>
        </is>
      </c>
      <c r="D7" t="inlineStr">
        <is>
          <t>香港</t>
        </is>
      </c>
      <c r="E7" t="n">
        <v>34989</v>
      </c>
      <c r="F7" t="inlineStr">
        <is>
          <t>90.6</t>
        </is>
      </c>
      <c r="G7" t="n">
        <v>38598</v>
      </c>
      <c r="H7" t="inlineStr">
        <is>
          <t>11</t>
        </is>
      </c>
      <c r="I7" t="inlineStr">
        <is>
          <t>16</t>
        </is>
      </c>
      <c r="J7" t="inlineStr">
        <is>
          <t>分母為Table 2.1全日制求學者；原始圖表Chart 2.5。</t>
        </is>
      </c>
    </row>
    <row r="8">
      <c r="A8" s="15" t="inlineStr">
        <is>
          <t>EDB-S6-2024</t>
        </is>
      </c>
      <c r="B8" t="n">
        <v>2024</v>
      </c>
      <c r="C8" t="inlineStr">
        <is>
          <t>2024-10</t>
        </is>
      </c>
      <c r="D8" t="inlineStr">
        <is>
          <t>香港以外</t>
        </is>
      </c>
      <c r="E8" t="n">
        <v>3061</v>
      </c>
      <c r="F8" t="inlineStr">
        <is>
          <t>7.8</t>
        </is>
      </c>
      <c r="G8" t="n">
        <v>39129</v>
      </c>
      <c r="H8" t="inlineStr">
        <is>
          <t>11</t>
        </is>
      </c>
      <c r="I8" t="inlineStr">
        <is>
          <t>16</t>
        </is>
      </c>
      <c r="J8" t="inlineStr">
        <is>
          <t>分母為Table 2.1全日制求學者；原始圖表Chart 2.5。</t>
        </is>
      </c>
    </row>
    <row r="9">
      <c r="A9" s="15" t="inlineStr">
        <is>
          <t>EDB-S6-2024</t>
        </is>
      </c>
      <c r="B9" t="n">
        <v>2024</v>
      </c>
      <c r="C9" t="inlineStr">
        <is>
          <t>2024-10</t>
        </is>
      </c>
      <c r="D9" t="inlineStr">
        <is>
          <t>香港</t>
        </is>
      </c>
      <c r="E9" t="n">
        <v>36068</v>
      </c>
      <c r="F9" t="inlineStr">
        <is>
          <t>92.2</t>
        </is>
      </c>
      <c r="G9" t="n">
        <v>39129</v>
      </c>
      <c r="H9" t="inlineStr">
        <is>
          <t>11</t>
        </is>
      </c>
      <c r="I9" t="inlineStr">
        <is>
          <t>16</t>
        </is>
      </c>
      <c r="J9" t="inlineStr">
        <is>
          <t>分母為Table 2.1全日制求學者；原始圖表Chart 2.5。</t>
        </is>
      </c>
    </row>
    <row r="10">
      <c r="A10" s="15" t="inlineStr">
        <is>
          <t>EDB-S6-2025</t>
        </is>
      </c>
      <c r="B10" t="n">
        <v>2025</v>
      </c>
      <c r="C10" t="inlineStr">
        <is>
          <t>2025-10</t>
        </is>
      </c>
      <c r="D10" t="inlineStr">
        <is>
          <t>香港以外</t>
        </is>
      </c>
      <c r="E10" t="n">
        <v>2671</v>
      </c>
      <c r="F10" t="inlineStr">
        <is>
          <t>6.5</t>
        </is>
      </c>
      <c r="G10" t="n">
        <v>40948</v>
      </c>
      <c r="H10" t="inlineStr">
        <is>
          <t>11</t>
        </is>
      </c>
      <c r="I10" t="inlineStr">
        <is>
          <t>16</t>
        </is>
      </c>
      <c r="J10" t="inlineStr">
        <is>
          <t>分母為Table 2.1全日制求學者；原始圖表Chart 2.5。</t>
        </is>
      </c>
    </row>
    <row r="11">
      <c r="A11" s="15" t="inlineStr">
        <is>
          <t>EDB-S6-2025</t>
        </is>
      </c>
      <c r="B11" t="n">
        <v>2025</v>
      </c>
      <c r="C11" t="inlineStr">
        <is>
          <t>2025-10</t>
        </is>
      </c>
      <c r="D11" t="inlineStr">
        <is>
          <t>香港</t>
        </is>
      </c>
      <c r="E11" t="n">
        <v>38277</v>
      </c>
      <c r="F11" t="inlineStr">
        <is>
          <t>93.5</t>
        </is>
      </c>
      <c r="G11" t="n">
        <v>40948</v>
      </c>
      <c r="H11" t="inlineStr">
        <is>
          <t>11</t>
        </is>
      </c>
      <c r="I11" t="inlineStr">
        <is>
          <t>16</t>
        </is>
      </c>
      <c r="J11" t="inlineStr">
        <is>
          <t>分母為Table 2.1全日制求學者；原始圖表Chart 2.5。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0" customWidth="1" min="14" max="14"/>
  </cols>
  <sheetData>
    <row r="1">
      <c r="A1" t="inlineStr">
        <is>
          <t>survey_year</t>
        </is>
      </c>
      <c r="B1" t="inlineStr">
        <is>
          <t>respondents</t>
        </is>
      </c>
      <c r="C1" t="inlineStr">
        <is>
          <t>full_time_study_n</t>
        </is>
      </c>
      <c r="D1" t="inlineStr">
        <is>
          <t>full_time_study_pct</t>
        </is>
      </c>
      <c r="E1" t="inlineStr">
        <is>
          <t>bachelor_n</t>
        </is>
      </c>
      <c r="F1" t="inlineStr">
        <is>
          <t>bachelor_pct_of_fulltime</t>
        </is>
      </c>
      <c r="G1" t="inlineStr">
        <is>
          <t>postsecondary_n</t>
        </is>
      </c>
      <c r="H1" t="inlineStr">
        <is>
          <t>postsecondary_pct_of_fulltime</t>
        </is>
      </c>
      <c r="I1" t="inlineStr">
        <is>
          <t>outside_hk_n</t>
        </is>
      </c>
      <c r="J1" t="inlineStr">
        <is>
          <t>outside_hk_pct_of_fulltime</t>
        </is>
      </c>
      <c r="K1" t="inlineStr">
        <is>
          <t>mainland_n</t>
        </is>
      </c>
      <c r="L1" t="inlineStr">
        <is>
          <t>mainland_pct_of_outside</t>
        </is>
      </c>
      <c r="M1" t="inlineStr">
        <is>
          <t>source_id</t>
        </is>
      </c>
      <c r="N1" t="inlineStr">
        <is>
          <t>caveat</t>
        </is>
      </c>
    </row>
    <row r="2">
      <c r="A2" s="15" t="n">
        <v>2021</v>
      </c>
      <c r="B2" t="n">
        <v>42204</v>
      </c>
      <c r="C2" t="n">
        <v>39531</v>
      </c>
      <c r="D2" t="n">
        <v>93.7</v>
      </c>
      <c r="E2" t="n">
        <v>19692</v>
      </c>
      <c r="F2" t="n">
        <v>49.8</v>
      </c>
      <c r="G2" t="n">
        <v>11869</v>
      </c>
      <c r="H2" t="n">
        <v>30</v>
      </c>
      <c r="I2" t="n">
        <v>5645</v>
      </c>
      <c r="J2" t="n">
        <v>14.3</v>
      </c>
      <c r="K2" t="n">
        <v>1985</v>
      </c>
      <c r="L2" t="n">
        <v>35.2</v>
      </c>
      <c r="M2" t="inlineStr">
        <is>
          <t>EDB-S6-2021</t>
        </is>
      </c>
      <c r="N2" t="inlineStr">
        <is>
          <t>10月快照；非回應者可能不同。2023起Other full-time課程註釋有改，勿將該類做無條件同比。</t>
        </is>
      </c>
    </row>
    <row r="3">
      <c r="A3" s="15" t="n">
        <v>2022</v>
      </c>
      <c r="B3" t="n">
        <v>41222</v>
      </c>
      <c r="C3" t="n">
        <v>38610</v>
      </c>
      <c r="D3" t="n">
        <v>93.7</v>
      </c>
      <c r="E3" t="n">
        <v>19062</v>
      </c>
      <c r="F3" t="n">
        <v>49.4</v>
      </c>
      <c r="G3" t="n">
        <v>11436</v>
      </c>
      <c r="H3" t="n">
        <v>29.6</v>
      </c>
      <c r="I3" t="n">
        <v>4789</v>
      </c>
      <c r="J3" t="n">
        <v>12.4</v>
      </c>
      <c r="K3" t="n">
        <v>1869</v>
      </c>
      <c r="L3" t="n">
        <v>39</v>
      </c>
      <c r="M3" t="inlineStr">
        <is>
          <t>EDB-S6-2022</t>
        </is>
      </c>
      <c r="N3" t="inlineStr">
        <is>
          <t>10月快照；非回應者可能不同。2023起Other full-time課程註釋有改，勿將該類做無條件同比。</t>
        </is>
      </c>
    </row>
    <row r="4">
      <c r="A4" s="15" t="n">
        <v>2023</v>
      </c>
      <c r="B4" t="n">
        <v>40951</v>
      </c>
      <c r="C4" t="n">
        <v>38598</v>
      </c>
      <c r="D4" t="n">
        <v>94.3</v>
      </c>
      <c r="E4" t="n">
        <v>18798</v>
      </c>
      <c r="F4" t="n">
        <v>48.7</v>
      </c>
      <c r="G4" t="n">
        <v>11946</v>
      </c>
      <c r="H4" t="n">
        <v>30.9</v>
      </c>
      <c r="I4" t="n">
        <v>3609</v>
      </c>
      <c r="J4" t="n">
        <v>9.4</v>
      </c>
      <c r="K4" t="n">
        <v>1431</v>
      </c>
      <c r="L4" t="n">
        <v>39.7</v>
      </c>
      <c r="M4" t="inlineStr">
        <is>
          <t>EDB-S6-2023</t>
        </is>
      </c>
      <c r="N4" t="inlineStr">
        <is>
          <t>10月快照；非回應者可能不同。2023起Other full-time課程註釋有改，勿將該類做無條件同比。</t>
        </is>
      </c>
    </row>
    <row r="5">
      <c r="A5" s="15" t="n">
        <v>2024</v>
      </c>
      <c r="B5" t="n">
        <v>41385</v>
      </c>
      <c r="C5" t="n">
        <v>39129</v>
      </c>
      <c r="D5" t="n">
        <v>94.5</v>
      </c>
      <c r="E5" t="n">
        <v>19025</v>
      </c>
      <c r="F5" t="n">
        <v>48.6</v>
      </c>
      <c r="G5" t="n">
        <v>13160</v>
      </c>
      <c r="H5" t="n">
        <v>33.6</v>
      </c>
      <c r="I5" t="n">
        <v>3061</v>
      </c>
      <c r="J5" t="n">
        <v>7.8</v>
      </c>
      <c r="K5" t="n">
        <v>1339</v>
      </c>
      <c r="L5" t="n">
        <v>43.7</v>
      </c>
      <c r="M5" t="inlineStr">
        <is>
          <t>EDB-S6-2024</t>
        </is>
      </c>
      <c r="N5" t="inlineStr">
        <is>
          <t>10月快照；非回應者可能不同。2023起Other full-time課程註釋有改，勿將該類做無條件同比。</t>
        </is>
      </c>
    </row>
    <row r="6">
      <c r="A6" s="15" t="n">
        <v>2025</v>
      </c>
      <c r="B6" t="n">
        <v>43561</v>
      </c>
      <c r="C6" t="n">
        <v>40948</v>
      </c>
      <c r="D6" t="n">
        <v>94</v>
      </c>
      <c r="E6" t="n">
        <v>18934</v>
      </c>
      <c r="F6" t="n">
        <v>46.2</v>
      </c>
      <c r="G6" t="n">
        <v>13800</v>
      </c>
      <c r="H6" t="n">
        <v>33.7</v>
      </c>
      <c r="I6" t="n">
        <v>2671</v>
      </c>
      <c r="J6" t="n">
        <v>6.5</v>
      </c>
      <c r="K6" t="n">
        <v>1259</v>
      </c>
      <c r="L6" t="n">
        <v>47.1</v>
      </c>
      <c r="M6" t="inlineStr">
        <is>
          <t>EDB-S6-2025</t>
        </is>
      </c>
      <c r="N6" t="inlineStr">
        <is>
          <t>10月快照；非回應者可能不同。2023起Other full-time課程註釋有改，勿將該類做無條件同比。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5" customWidth="1" min="4" max="4"/>
    <col width="15" customWidth="1" min="5" max="5"/>
    <col width="14" customWidth="1" min="6" max="6"/>
    <col width="24" customWidth="1" min="7" max="7"/>
    <col width="16" customWidth="1" min="8" max="8"/>
    <col width="58" customWidth="1" min="9" max="9"/>
  </cols>
  <sheetData>
    <row r="1" ht="42" customHeight="1">
      <c r="A1" s="42" t="inlineStr">
        <is>
          <t>年度</t>
        </is>
      </c>
      <c r="B1" s="42" t="inlineStr">
        <is>
          <t>Main Round申請人</t>
        </is>
      </c>
      <c r="C1" s="42" t="inlineStr">
        <is>
          <t>一般類別offer</t>
        </is>
      </c>
      <c r="D1" s="42" t="inlineStr">
        <is>
          <t>官方一般類別率</t>
        </is>
      </c>
      <c r="E1" s="42" t="inlineStr">
        <is>
          <t>本研究複算率</t>
        </is>
      </c>
      <c r="F1" s="42" t="inlineStr">
        <is>
          <t>SSSDP offer</t>
        </is>
      </c>
      <c r="G1" s="42" t="inlineStr">
        <is>
          <t>唯一Main Round獲offer申請人（衍生）</t>
        </is>
      </c>
      <c r="H1" s="42" t="inlineStr">
        <is>
          <t>合併比例（衍生）</t>
        </is>
      </c>
      <c r="I1" s="42" t="inlineStr">
        <is>
          <t>口徑與限制</t>
        </is>
      </c>
    </row>
    <row r="2" ht="66" customHeight="1">
      <c r="A2" s="44" t="n">
        <v>2025</v>
      </c>
      <c r="B2" s="81" t="n">
        <v>43269</v>
      </c>
      <c r="C2" s="81" t="n">
        <v>15808</v>
      </c>
      <c r="D2" s="82" t="n">
        <v>0.3653</v>
      </c>
      <c r="E2" s="82">
        <f>C2/B2</f>
        <v/>
      </c>
      <c r="F2" s="81" t="n">
        <v>4904</v>
      </c>
      <c r="G2" s="81">
        <f>C2+F2</f>
        <v/>
      </c>
      <c r="H2" s="82">
        <f>G2/B2</f>
        <v/>
      </c>
      <c r="I2" s="43" t="inlineStr">
        <is>
          <t>官方一人一Main Round offer規則；不代表接受、註冊或實際入讀，且不包括其後輪次。</t>
        </is>
      </c>
    </row>
    <row r="3" ht="66" customHeight="1">
      <c r="A3" s="44" t="n">
        <v>2026</v>
      </c>
      <c r="B3" s="81" t="n">
        <v>45545</v>
      </c>
      <c r="C3" s="81" t="n">
        <v>15619</v>
      </c>
      <c r="D3" s="82" t="n">
        <v>0.3429</v>
      </c>
      <c r="E3" s="82">
        <f>C3/B3</f>
        <v/>
      </c>
      <c r="F3" s="81" t="n">
        <v>4979</v>
      </c>
      <c r="G3" s="81">
        <f>C3+F3</f>
        <v/>
      </c>
      <c r="H3" s="82">
        <f>G3/B3</f>
        <v/>
      </c>
      <c r="I3" s="43" t="inlineStr">
        <is>
          <t>官方Main Round流程確認一人一offer；不代表接受、註冊或實際入讀，且不包括其後輪次。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0" customWidth="1" min="4" max="4"/>
    <col width="18" customWidth="1" min="5" max="5"/>
    <col width="66" customWidth="1" min="6" max="6"/>
  </cols>
  <sheetData>
    <row r="1" ht="34" customHeight="1">
      <c r="A1" s="51" t="inlineStr">
        <is>
          <t>UGC-funded FYFD：具HKDSE成績入讀者途徑構成</t>
        </is>
      </c>
    </row>
    <row r="2"/>
    <row r="3" ht="42" customHeight="1">
      <c r="A3" s="58" t="inlineStr">
        <is>
          <t>學年</t>
        </is>
      </c>
      <c r="B3" s="58" t="inlineStr">
        <is>
          <t>JUPAS入讀人數</t>
        </is>
      </c>
      <c r="C3" s="58" t="inlineStr">
        <is>
          <t>non-JUPAS入讀人數</t>
        </is>
      </c>
      <c r="D3" s="58" t="inlineStr">
        <is>
          <t>同範圍入讀合計</t>
        </is>
      </c>
      <c r="E3" s="58" t="inlineStr">
        <is>
          <t>JUPAS途徑佔比</t>
        </is>
      </c>
      <c r="F3" s="58" t="inlineStr">
        <is>
          <t>分母／限制</t>
        </is>
      </c>
    </row>
    <row r="4" ht="54" customHeight="1">
      <c r="A4" s="63" t="inlineStr">
        <is>
          <t>2021/22</t>
        </is>
      </c>
      <c r="B4" s="83" t="n">
        <v>12225</v>
      </c>
      <c r="C4" s="83" t="n">
        <v>81</v>
      </c>
      <c r="D4" s="83">
        <f>B4+C4</f>
        <v/>
      </c>
      <c r="E4" s="84">
        <f>B4/D4</f>
        <v/>
      </c>
      <c r="F4" s="59" t="inlineStr">
        <is>
          <t>僅限具HKDSE成績、已入讀UGC-funded FYFD者；非申請成功率或offer接受率。</t>
        </is>
      </c>
    </row>
    <row r="5" ht="54" customHeight="1">
      <c r="A5" s="63" t="inlineStr">
        <is>
          <t>2022/23</t>
        </is>
      </c>
      <c r="B5" s="83" t="n">
        <v>12178</v>
      </c>
      <c r="C5" s="83" t="n">
        <v>19</v>
      </c>
      <c r="D5" s="83">
        <f>B5+C5</f>
        <v/>
      </c>
      <c r="E5" s="84">
        <f>B5/D5</f>
        <v/>
      </c>
      <c r="F5" s="59" t="inlineStr">
        <is>
          <t>僅限具HKDSE成績、已入讀UGC-funded FYFD者；非申請成功率或offer接受率。</t>
        </is>
      </c>
    </row>
    <row r="6" ht="54" customHeight="1">
      <c r="A6" s="63" t="inlineStr">
        <is>
          <t>2023/24</t>
        </is>
      </c>
      <c r="B6" s="83" t="n">
        <v>12590</v>
      </c>
      <c r="C6" s="83" t="n">
        <v>21</v>
      </c>
      <c r="D6" s="83">
        <f>B6+C6</f>
        <v/>
      </c>
      <c r="E6" s="84">
        <f>B6/D6</f>
        <v/>
      </c>
      <c r="F6" s="59" t="inlineStr">
        <is>
          <t>僅限具HKDSE成績、已入讀UGC-funded FYFD者；非申請成功率或offer接受率。</t>
        </is>
      </c>
    </row>
    <row r="7">
      <c r="A7" s="60" t="n"/>
      <c r="B7" s="60" t="n"/>
      <c r="C7" s="60" t="n"/>
      <c r="D7" s="60" t="n"/>
      <c r="E7" s="60" t="n"/>
      <c r="F7" s="60" t="n"/>
    </row>
    <row r="8">
      <c r="A8" s="60" t="n"/>
      <c r="B8" s="60" t="n"/>
      <c r="C8" s="60" t="n"/>
      <c r="D8" s="60" t="n"/>
      <c r="E8" s="60" t="n"/>
      <c r="F8" s="60" t="n"/>
    </row>
    <row r="9">
      <c r="A9" s="61" t="inlineStr">
        <is>
          <t>另行公布的簽證身分子群（不是全體JUPAS入讀者）</t>
        </is>
      </c>
      <c r="B9" s="85" t="n"/>
      <c r="C9" s="85" t="n"/>
      <c r="D9" s="85" t="n"/>
      <c r="E9" s="85" t="n"/>
      <c r="F9" s="86" t="n"/>
    </row>
    <row r="10" ht="48" customHeight="1">
      <c r="A10" s="62" t="inlineStr">
        <is>
          <t>學年</t>
        </is>
      </c>
      <c r="B10" s="62" t="inlineStr">
        <is>
          <t>JUPAS入讀人數（簽證子群）</t>
        </is>
      </c>
      <c r="C10" s="62" t="inlineStr">
        <is>
          <t>課程範圍</t>
        </is>
      </c>
      <c r="D10" s="62" t="inlineStr">
        <is>
          <t>來源ID</t>
        </is>
      </c>
      <c r="E10" s="62" t="inlineStr">
        <is>
          <t>子群定義</t>
        </is>
      </c>
      <c r="F10" s="62" t="inlineStr">
        <is>
          <t>分母限制</t>
        </is>
      </c>
    </row>
    <row r="11" ht="56" customHeight="1">
      <c r="A11" s="63" t="inlineStr">
        <is>
          <t>2022/23</t>
        </is>
      </c>
      <c r="B11" s="83" t="n">
        <v>62</v>
      </c>
      <c r="C11" s="59" t="inlineStr">
        <is>
          <t>UGC-funded FYFD</t>
        </is>
      </c>
      <c r="D11" s="59" t="inlineStr">
        <is>
          <t>EDU-LCQ-2025-DEPENDANT</t>
        </is>
      </c>
      <c r="E11" s="59" t="inlineStr">
        <is>
          <t>受養人簽證／進入許可持有人</t>
        </is>
      </c>
      <c r="F11" s="59" t="inlineStr">
        <is>
          <t>未提供全體入讀人數分母</t>
        </is>
      </c>
    </row>
    <row r="12" ht="56" customHeight="1">
      <c r="A12" s="63" t="inlineStr">
        <is>
          <t>2023/24</t>
        </is>
      </c>
      <c r="B12" s="83" t="n">
        <v>68</v>
      </c>
      <c r="C12" s="59" t="inlineStr">
        <is>
          <t>UGC-funded FYFD</t>
        </is>
      </c>
      <c r="D12" s="59" t="inlineStr">
        <is>
          <t>EDU-LCQ-2025-DEPENDANT</t>
        </is>
      </c>
      <c r="E12" s="59" t="inlineStr">
        <is>
          <t>受養人簽證／進入許可持有人</t>
        </is>
      </c>
      <c r="F12" s="59" t="inlineStr">
        <is>
          <t>未提供全體入讀人數分母</t>
        </is>
      </c>
    </row>
    <row r="13" ht="56" customHeight="1">
      <c r="A13" s="63" t="inlineStr">
        <is>
          <t>2024/25</t>
        </is>
      </c>
      <c r="B13" s="83" t="n">
        <v>185</v>
      </c>
      <c r="C13" s="59" t="inlineStr">
        <is>
          <t>UGC-funded FYFD</t>
        </is>
      </c>
      <c r="D13" s="59" t="inlineStr">
        <is>
          <t>EDU-LCQ-2025-DEPENDANT</t>
        </is>
      </c>
      <c r="E13" s="59" t="inlineStr">
        <is>
          <t>受養人簽證／進入許可持有人</t>
        </is>
      </c>
      <c r="F13" s="59" t="inlineStr">
        <is>
          <t>未提供全體入讀人數分母</t>
        </is>
      </c>
    </row>
    <row r="14"/>
    <row r="15">
      <c r="A15" t="inlineStr">
        <is>
          <t>來源：教育局立法會答覆 LCQ12；簽證子群另見LCQ5。不得與2026 Main Round申請／offer數相除。</t>
        </is>
      </c>
    </row>
  </sheetData>
  <mergeCells count="3">
    <mergeCell ref="A1:F1"/>
    <mergeCell ref="A9:F9"/>
    <mergeCell ref="A15:F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25" customWidth="1" min="1" max="1"/>
    <col width="14" customWidth="1" min="2" max="2"/>
    <col width="28" customWidth="1" min="3" max="3"/>
    <col width="27" customWidth="1" min="4" max="4"/>
    <col width="22" customWidth="1" min="5" max="5"/>
    <col width="17" customWidth="1" min="6" max="6"/>
    <col width="14" customWidth="1" min="7" max="7"/>
    <col width="22" customWidth="1" min="8" max="8"/>
  </cols>
  <sheetData>
    <row r="1" ht="36" customHeight="1">
      <c r="A1" s="51" t="inlineStr">
        <is>
          <t>2026 JUPAS RR：重審申請者的offer結果分類（非接受／入讀）</t>
        </is>
      </c>
    </row>
    <row r="2"/>
    <row r="3" ht="56" customHeight="1">
      <c r="A3" s="58" t="inlineStr">
        <is>
          <t>重審前Main Round狀態</t>
        </is>
      </c>
      <c r="B3" s="58" t="inlineStr">
        <is>
          <t>申請人</t>
        </is>
      </c>
      <c r="C3" s="58" t="inlineStr">
        <is>
          <t>UGC/HKMU較佳offer或獲offer</t>
        </is>
      </c>
      <c r="D3" s="58" t="inlineStr">
        <is>
          <t>SSSDP較佳offer或獲offer</t>
        </is>
      </c>
      <c r="E3" s="58" t="inlineStr">
        <is>
          <t>主輪offer狀態不變</t>
        </is>
      </c>
      <c r="F3" s="58" t="inlineStr">
        <is>
          <t>結果分類合計</t>
        </is>
      </c>
      <c r="G3" s="58" t="inlineStr">
        <is>
          <t>差額檢查</t>
        </is>
      </c>
      <c r="H3" s="58" t="inlineStr">
        <is>
          <t>佔453宗申請比例</t>
        </is>
      </c>
    </row>
    <row r="4" ht="42" customHeight="1">
      <c r="A4" s="59" t="inlineStr">
        <is>
          <t>UGC/HKMU Degree</t>
        </is>
      </c>
      <c r="B4" s="83" t="n">
        <v>269</v>
      </c>
      <c r="C4" s="83" t="n">
        <v>169</v>
      </c>
      <c r="D4" s="83" t="n">
        <v>0</v>
      </c>
      <c r="E4" s="83" t="n">
        <v>100</v>
      </c>
      <c r="F4" s="83">
        <f>SUM(C4:E4)</f>
        <v/>
      </c>
      <c r="G4" s="83">
        <f>F4-B4</f>
        <v/>
      </c>
      <c r="H4" s="84">
        <f>B4/$B$8</f>
        <v/>
      </c>
    </row>
    <row r="5" ht="42" customHeight="1">
      <c r="A5" s="59" t="inlineStr">
        <is>
          <t>SSSDP Degree</t>
        </is>
      </c>
      <c r="B5" s="83" t="n">
        <v>52</v>
      </c>
      <c r="C5" s="83" t="n">
        <v>21</v>
      </c>
      <c r="D5" s="83" t="n">
        <v>11</v>
      </c>
      <c r="E5" s="83" t="n">
        <v>20</v>
      </c>
      <c r="F5" s="83">
        <f>SUM(C5:E5)</f>
        <v/>
      </c>
      <c r="G5" s="83">
        <f>F5-B5</f>
        <v/>
      </c>
      <c r="H5" s="84">
        <f>B5/$B$8</f>
        <v/>
      </c>
    </row>
    <row r="6" ht="42" customHeight="1">
      <c r="A6" s="59" t="inlineStr">
        <is>
          <t>Higher Diploma</t>
        </is>
      </c>
      <c r="B6" s="83" t="n">
        <v>3</v>
      </c>
      <c r="C6" s="83" t="n">
        <v>3</v>
      </c>
      <c r="D6" s="83" t="n">
        <v>0</v>
      </c>
      <c r="E6" s="83" t="n">
        <v>0</v>
      </c>
      <c r="F6" s="83">
        <f>SUM(C6:E6)</f>
        <v/>
      </c>
      <c r="G6" s="83">
        <f>F6-B6</f>
        <v/>
      </c>
      <c r="H6" s="84">
        <f>B6/$B$8</f>
        <v/>
      </c>
    </row>
    <row r="7" ht="42" customHeight="1">
      <c r="A7" s="59" t="inlineStr">
        <is>
          <t>No Main Round Offer</t>
        </is>
      </c>
      <c r="B7" s="83" t="n">
        <v>129</v>
      </c>
      <c r="C7" s="83" t="n">
        <v>51</v>
      </c>
      <c r="D7" s="83" t="n">
        <v>32</v>
      </c>
      <c r="E7" s="83" t="n">
        <v>46</v>
      </c>
      <c r="F7" s="83">
        <f>SUM(C7:E7)</f>
        <v/>
      </c>
      <c r="G7" s="83">
        <f>F7-B7</f>
        <v/>
      </c>
      <c r="H7" s="84">
        <f>B7/$B$8</f>
        <v/>
      </c>
    </row>
    <row r="8" ht="42" customHeight="1">
      <c r="A8" s="67" t="inlineStr">
        <is>
          <t>Total</t>
        </is>
      </c>
      <c r="B8" s="87">
        <f>SUM(B4:B7)</f>
        <v/>
      </c>
      <c r="C8" s="87">
        <f>SUM(C4:C7)</f>
        <v/>
      </c>
      <c r="D8" s="87">
        <f>SUM(D4:D7)</f>
        <v/>
      </c>
      <c r="E8" s="87">
        <f>SUM(E4:E7)</f>
        <v/>
      </c>
      <c r="F8" s="87">
        <f>SUM(C8:E8)</f>
        <v/>
      </c>
      <c r="G8" s="87">
        <f>F8-B8</f>
        <v/>
      </c>
      <c r="H8" s="88">
        <f>SUM(H4:H7)</f>
        <v/>
      </c>
    </row>
    <row r="9"/>
    <row r="10">
      <c r="A10" s="72" t="inlineStr">
        <is>
          <t>官方公布的是覆核後offer分類；不得解讀成繳費接受、院校註冊或實際入讀數。</t>
        </is>
      </c>
    </row>
  </sheetData>
  <mergeCells count="2">
    <mergeCell ref="A1:H1"/>
    <mergeCell ref="A10:H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4" customWidth="1" min="3" max="3"/>
    <col width="38" customWidth="1" min="4" max="4"/>
    <col width="25" customWidth="1" min="5" max="5"/>
    <col width="44" customWidth="1" min="6" max="6"/>
    <col width="53" customWidth="1" min="7" max="7"/>
    <col width="16" customWidth="1" min="8" max="8"/>
    <col width="16" customWidth="1" min="9" max="9"/>
    <col width="18" customWidth="1" min="10" max="10"/>
    <col width="18" customWidth="1" min="11" max="11"/>
    <col width="30" customWidth="1" min="12" max="12"/>
    <col width="45" customWidth="1" min="13" max="13"/>
    <col width="52" customWidth="1" min="14" max="14"/>
    <col width="70" customWidth="1" min="15" max="15"/>
    <col width="85" customWidth="1" min="16" max="16"/>
  </cols>
  <sheetData>
    <row r="1" ht="32" customHeight="1">
      <c r="A1" s="76" t="inlineStr">
        <is>
          <t>crosswalk_id</t>
        </is>
      </c>
      <c r="B1" s="76" t="inlineStr">
        <is>
          <t>stage</t>
        </is>
      </c>
      <c r="C1" s="76" t="inlineStr">
        <is>
          <t>year</t>
        </is>
      </c>
      <c r="D1" s="76" t="inlineStr">
        <is>
          <t>cohort_or_event</t>
        </is>
      </c>
      <c r="E1" s="76" t="inlineStr">
        <is>
          <t>reference_time</t>
        </is>
      </c>
      <c r="F1" s="76" t="inlineStr">
        <is>
          <t>measure</t>
        </is>
      </c>
      <c r="G1" s="76" t="inlineStr">
        <is>
          <t>population_scope</t>
        </is>
      </c>
      <c r="H1" s="76" t="inlineStr">
        <is>
          <t>numerator</t>
        </is>
      </c>
      <c r="I1" s="76" t="inlineStr">
        <is>
          <t>denominator</t>
        </is>
      </c>
      <c r="J1" s="76" t="inlineStr">
        <is>
          <t>reported_rate</t>
        </is>
      </c>
      <c r="K1" s="76" t="inlineStr">
        <is>
          <t>unit</t>
        </is>
      </c>
      <c r="L1" s="76" t="inlineStr">
        <is>
          <t>rate_status</t>
        </is>
      </c>
      <c r="M1" s="76" t="inlineStr">
        <is>
          <t>source_ids</t>
        </is>
      </c>
      <c r="N1" s="76" t="inlineStr">
        <is>
          <t>joinability</t>
        </is>
      </c>
      <c r="O1" s="76" t="inlineStr">
        <is>
          <t>permitted_use</t>
        </is>
      </c>
      <c r="P1" s="76" t="inlineStr">
        <is>
          <t>caution</t>
        </is>
      </c>
    </row>
    <row r="2" ht="30" customHeight="1">
      <c r="A2" s="77" t="inlineStr">
        <is>
          <t>HKDSE_2026_DAY_SCHOOL_SAT</t>
        </is>
      </c>
      <c r="B2" s="77" t="inlineStr">
        <is>
          <t>HKDSE公開考試</t>
        </is>
      </c>
      <c r="C2" s="77" t="inlineStr">
        <is>
          <t>2026</t>
        </is>
      </c>
      <c r="D2" s="77" t="inlineStr">
        <is>
          <t>results release</t>
        </is>
      </c>
      <c r="E2" s="77" t="inlineStr">
        <is>
          <t>2026 exam results</t>
        </is>
      </c>
      <c r="F2" s="77" t="inlineStr">
        <is>
          <t>No. sat日校實際應考人數</t>
        </is>
      </c>
      <c r="G2" s="77" t="inlineStr">
        <is>
          <t>日校考生</t>
        </is>
      </c>
      <c r="H2" s="77" t="inlineStr">
        <is>
          <t>43347</t>
        </is>
      </c>
      <c r="I2" s="77" t="inlineStr"/>
      <c r="J2" s="77" t="inlineStr"/>
      <c r="K2" s="77" t="inlineStr">
        <is>
          <t>人</t>
        </is>
      </c>
      <c r="L2" s="77" t="inlineStr">
        <is>
          <t>官方照錄</t>
        </is>
      </c>
      <c r="M2" s="77" t="inlineStr">
        <is>
          <t>HKDSE26</t>
        </is>
      </c>
      <c r="N2" s="77" t="inlineStr">
        <is>
          <t>Aggregate only; no person-level link</t>
        </is>
      </c>
      <c r="O2" s="77" t="inlineStr">
        <is>
          <t>描述實際應考的日校考生數</t>
        </is>
      </c>
      <c r="P2" s="77" t="inlineStr">
        <is>
          <t>不是所有DSE登記者，也不是JUPAS applicant或EDB S6 respondent分母。</t>
        </is>
      </c>
    </row>
    <row r="3" ht="30" customHeight="1">
      <c r="A3" s="78" t="inlineStr">
        <is>
          <t>HKDSE_2026_SUBDEGREE_MIN</t>
        </is>
      </c>
      <c r="B3" s="78" t="inlineStr">
        <is>
          <t>HKDSE公開考試</t>
        </is>
      </c>
      <c r="C3" s="78" t="inlineStr">
        <is>
          <t>2026</t>
        </is>
      </c>
      <c r="D3" s="78" t="inlineStr">
        <is>
          <t>results release</t>
        </is>
      </c>
      <c r="E3" s="78" t="inlineStr">
        <is>
          <t>2026 exam results</t>
        </is>
      </c>
      <c r="F3" s="78" t="inlineStr">
        <is>
          <t>達副學位最低要求</t>
        </is>
      </c>
      <c r="G3" s="78" t="inlineStr">
        <is>
          <t>曾應考相關科目的日校考生子群</t>
        </is>
      </c>
      <c r="H3" s="78" t="inlineStr">
        <is>
          <t>30977</t>
        </is>
      </c>
      <c r="I3" s="78" t="inlineStr"/>
      <c r="J3" s="78" t="inlineStr">
        <is>
          <t>73.2%</t>
        </is>
      </c>
      <c r="K3" s="78" t="inlineStr">
        <is>
          <t>人／官方百分比</t>
        </is>
      </c>
      <c r="L3" s="78" t="inlineStr">
        <is>
          <t>人數與比例官方公布；精確分母未列</t>
        </is>
      </c>
      <c r="M3" s="78" t="inlineStr">
        <is>
          <t>HKDSE26</t>
        </is>
      </c>
      <c r="N3" s="78" t="inlineStr">
        <is>
          <t>Aggregate only; no person-level link</t>
        </is>
      </c>
      <c r="O3" s="78" t="inlineStr">
        <is>
          <t>說明指定入學門檻達標數</t>
        </is>
      </c>
      <c r="P3" s="78" t="inlineStr">
        <is>
          <t>不能用43,347全體No. sat計算該比例；不是實際副學位錄取數。</t>
        </is>
      </c>
    </row>
    <row r="4" ht="30" customHeight="1">
      <c r="A4" s="77" t="inlineStr">
        <is>
          <t>JUPAS_2025_APPLICANTS</t>
        </is>
      </c>
      <c r="B4" s="77" t="inlineStr">
        <is>
          <t>JUPAS申請／結果</t>
        </is>
      </c>
      <c r="C4" s="77" t="inlineStr">
        <is>
          <t>2025</t>
        </is>
      </c>
      <c r="D4" s="77" t="inlineStr">
        <is>
          <t>Main Round result announcement</t>
        </is>
      </c>
      <c r="E4" s="77" t="inlineStr">
        <is>
          <t>2025 Main Round announcement</t>
        </is>
      </c>
      <c r="F4" s="77" t="inlineStr">
        <is>
          <t>申請人總數</t>
        </is>
      </c>
      <c r="G4" s="77" t="inlineStr">
        <is>
          <t>JUPAS Main Round申請人</t>
        </is>
      </c>
      <c r="H4" s="77" t="inlineStr">
        <is>
          <t>43269</t>
        </is>
      </c>
      <c r="I4" s="77" t="inlineStr"/>
      <c r="J4" s="77" t="inlineStr"/>
      <c r="K4" s="77" t="inlineStr">
        <is>
          <t>人</t>
        </is>
      </c>
      <c r="L4" s="77" t="inlineStr">
        <is>
          <t>JUPAS官方照錄</t>
        </is>
      </c>
      <c r="M4" s="77" t="inlineStr">
        <is>
          <t>JUPAS-MR</t>
        </is>
      </c>
      <c r="N4" s="77" t="inlineStr">
        <is>
          <t>JUPAS applicant-level aggregate</t>
        </is>
      </c>
      <c r="O4" s="77" t="inlineStr">
        <is>
          <t>作一般主輪／跨類別主輪比例分母</t>
        </is>
      </c>
      <c r="P4" s="77" t="inlineStr">
        <is>
          <t>不是當年所有HKDSE考生或中六畢業生。</t>
        </is>
      </c>
    </row>
    <row r="5" ht="30" customHeight="1">
      <c r="A5" s="78" t="inlineStr">
        <is>
          <t>JUPAS_2025_GENERAL_OFFERS</t>
        </is>
      </c>
      <c r="B5" s="78" t="inlineStr">
        <is>
          <t>JUPAS申請／結果</t>
        </is>
      </c>
      <c r="C5" s="78" t="inlineStr">
        <is>
          <t>2025</t>
        </is>
      </c>
      <c r="D5" s="78" t="inlineStr">
        <is>
          <t>Main Round result announcement</t>
        </is>
      </c>
      <c r="E5" s="78" t="inlineStr">
        <is>
          <t>2025 Main Round announcement</t>
        </is>
      </c>
      <c r="F5" s="78" t="inlineStr">
        <is>
          <t>一般頁所列類別offer持有人數</t>
        </is>
      </c>
      <c r="G5" s="78" t="inlineStr">
        <is>
          <t>一般Main Round所列UGC／HKMU／EdUHD類別</t>
        </is>
      </c>
      <c r="H5" s="78" t="inlineStr">
        <is>
          <t>15808</t>
        </is>
      </c>
      <c r="I5" s="78" t="inlineStr">
        <is>
          <t>43269</t>
        </is>
      </c>
      <c r="J5" s="78" t="inlineStr">
        <is>
          <t>36.53</t>
        </is>
      </c>
      <c r="K5" s="78" t="inlineStr">
        <is>
          <t>人／%</t>
        </is>
      </c>
      <c r="L5" s="78" t="inlineStr">
        <is>
          <t>人數及比例官方公布；比例已複算</t>
        </is>
      </c>
      <c r="M5" s="78" t="inlineStr">
        <is>
          <t>JUPAS-MR</t>
        </is>
      </c>
      <c r="N5" s="78" t="inlineStr">
        <is>
          <t>Distinct applicants within general table</t>
        </is>
      </c>
      <c r="O5" s="78" t="inlineStr">
        <is>
          <t>作官方一般主輪指標，或在排他規則下合併跨類別offer</t>
        </is>
      </c>
      <c r="P5" s="78" t="inlineStr">
        <is>
          <t>不是單一院校錄取率，也不是全港升學率。</t>
        </is>
      </c>
    </row>
    <row r="6" ht="30" customHeight="1">
      <c r="A6" s="77" t="inlineStr">
        <is>
          <t>JUPAS_2025_SSSDP_OFFERS</t>
        </is>
      </c>
      <c r="B6" s="77" t="inlineStr">
        <is>
          <t>JUPAS申請／結果</t>
        </is>
      </c>
      <c r="C6" s="77" t="inlineStr">
        <is>
          <t>2025</t>
        </is>
      </c>
      <c r="D6" s="77" t="inlineStr">
        <is>
          <t>Main Round result announcement</t>
        </is>
      </c>
      <c r="E6" s="77" t="inlineStr">
        <is>
          <t>2025 Main Round announcement</t>
        </is>
      </c>
      <c r="F6" s="77" t="inlineStr">
        <is>
          <t>SSSDP Main Round offer持有人數</t>
        </is>
      </c>
      <c r="G6" s="77" t="inlineStr">
        <is>
          <t>SSSDP Main Round申請人</t>
        </is>
      </c>
      <c r="H6" s="77" t="inlineStr">
        <is>
          <t>4904</t>
        </is>
      </c>
      <c r="I6" s="77" t="inlineStr"/>
      <c r="J6" s="77" t="inlineStr"/>
      <c r="K6" s="77" t="inlineStr">
        <is>
          <t>人</t>
        </is>
      </c>
      <c r="L6" s="77" t="inlineStr">
        <is>
          <t>JUPAS官方照錄</t>
        </is>
      </c>
      <c r="M6" s="77" t="inlineStr">
        <is>
          <t>JUPAS-SSSDP-MR</t>
        </is>
      </c>
      <c r="N6" s="77" t="inlineStr">
        <is>
          <t>Separate official aggregate; unique across categories due one-offer rule</t>
        </is>
      </c>
      <c r="O6" s="77" t="inlineStr">
        <is>
          <t>與一般類別合併成跨兩表唯一Main Round offer人數</t>
        </is>
      </c>
      <c r="P6" s="77" t="inlineStr">
        <is>
          <t>單頁未列一般申請人分母；單獨比值不要與一般主輪率混用。</t>
        </is>
      </c>
    </row>
    <row r="7" ht="30" customHeight="1">
      <c r="A7" s="78" t="inlineStr">
        <is>
          <t>JUPAS_2025_UNIQUE_MAIN_OFFERS</t>
        </is>
      </c>
      <c r="B7" s="78" t="inlineStr">
        <is>
          <t>JUPAS申請／結果</t>
        </is>
      </c>
      <c r="C7" s="78" t="inlineStr">
        <is>
          <t>2025</t>
        </is>
      </c>
      <c r="D7" s="78" t="inlineStr">
        <is>
          <t>Main Round result announcement</t>
        </is>
      </c>
      <c r="E7" s="78" t="inlineStr">
        <is>
          <t>2025 Main Round announcement</t>
        </is>
      </c>
      <c r="F7" s="78" t="inlineStr">
        <is>
          <t>跨一般頁及SSSDP頁唯一Main Round offer持有人數</t>
        </is>
      </c>
      <c r="G7" s="78" t="inlineStr">
        <is>
          <t>同年Main Round申請人；跨官方offer類別依一人一offer規則</t>
        </is>
      </c>
      <c r="H7" s="78" t="inlineStr">
        <is>
          <t>20712</t>
        </is>
      </c>
      <c r="I7" s="78" t="inlineStr">
        <is>
          <t>43269</t>
        </is>
      </c>
      <c r="J7" s="78" t="inlineStr">
        <is>
          <t>47.87</t>
        </is>
      </c>
      <c r="K7" s="78" t="inlineStr">
        <is>
          <t>人／%</t>
        </is>
      </c>
      <c r="L7" s="78" t="inlineStr">
        <is>
          <t>研究者跨表衍生；以官方排他規則核實</t>
        </is>
      </c>
      <c r="M7" s="78" t="inlineStr">
        <is>
          <t>JUPAS-MR;JUPAS-SSSDP-MR;JUPAS-MR-ONE-OFFER</t>
        </is>
      </c>
      <c r="N7" s="78" t="inlineStr">
        <is>
          <t>Aggregate only; policy-justified disjoint categories</t>
        </is>
      </c>
      <c r="O7" s="78" t="inlineStr">
        <is>
          <t>描述跨兩官方統計表的唯一Main Round offer比例</t>
        </is>
      </c>
      <c r="P7" s="78" t="inlineStr">
        <is>
          <t>不是已接受／註冊／入讀；不含後續輪次，也不可與EDB S6不同屆別百分比串成轉化率。</t>
        </is>
      </c>
    </row>
    <row r="8" ht="30" customHeight="1">
      <c r="A8" s="77" t="inlineStr">
        <is>
          <t>JUPAS_2026_APPLICANTS</t>
        </is>
      </c>
      <c r="B8" s="77" t="inlineStr">
        <is>
          <t>JUPAS申請／結果</t>
        </is>
      </c>
      <c r="C8" s="77" t="inlineStr">
        <is>
          <t>2026</t>
        </is>
      </c>
      <c r="D8" s="77" t="inlineStr">
        <is>
          <t>Main Round result announcement</t>
        </is>
      </c>
      <c r="E8" s="77" t="inlineStr">
        <is>
          <t>2026 Main Round announcement</t>
        </is>
      </c>
      <c r="F8" s="77" t="inlineStr">
        <is>
          <t>申請人總數</t>
        </is>
      </c>
      <c r="G8" s="77" t="inlineStr">
        <is>
          <t>JUPAS Main Round申請人</t>
        </is>
      </c>
      <c r="H8" s="77" t="inlineStr">
        <is>
          <t>45545</t>
        </is>
      </c>
      <c r="I8" s="77" t="inlineStr"/>
      <c r="J8" s="77" t="inlineStr"/>
      <c r="K8" s="77" t="inlineStr">
        <is>
          <t>人</t>
        </is>
      </c>
      <c r="L8" s="77" t="inlineStr">
        <is>
          <t>JUPAS官方照錄</t>
        </is>
      </c>
      <c r="M8" s="77" t="inlineStr">
        <is>
          <t>JUPAS-MR</t>
        </is>
      </c>
      <c r="N8" s="77" t="inlineStr">
        <is>
          <t>JUPAS applicant-level aggregate</t>
        </is>
      </c>
      <c r="O8" s="77" t="inlineStr">
        <is>
          <t>作一般主輪／跨類別主輪比例分母</t>
        </is>
      </c>
      <c r="P8" s="77" t="inlineStr">
        <is>
          <t>不是當年所有HKDSE考生或中六畢業生。</t>
        </is>
      </c>
    </row>
    <row r="9" ht="30" customHeight="1">
      <c r="A9" s="78" t="inlineStr">
        <is>
          <t>JUPAS_2026_GENERAL_OFFERS</t>
        </is>
      </c>
      <c r="B9" s="78" t="inlineStr">
        <is>
          <t>JUPAS申請／結果</t>
        </is>
      </c>
      <c r="C9" s="78" t="inlineStr">
        <is>
          <t>2026</t>
        </is>
      </c>
      <c r="D9" s="78" t="inlineStr">
        <is>
          <t>Main Round result announcement</t>
        </is>
      </c>
      <c r="E9" s="78" t="inlineStr">
        <is>
          <t>2026 Main Round announcement</t>
        </is>
      </c>
      <c r="F9" s="78" t="inlineStr">
        <is>
          <t>一般頁所列類別offer持有人數</t>
        </is>
      </c>
      <c r="G9" s="78" t="inlineStr">
        <is>
          <t>一般Main Round所列UGC／HKMU／EdUHD類別</t>
        </is>
      </c>
      <c r="H9" s="78" t="inlineStr">
        <is>
          <t>15619</t>
        </is>
      </c>
      <c r="I9" s="78" t="inlineStr">
        <is>
          <t>45545</t>
        </is>
      </c>
      <c r="J9" s="78" t="inlineStr">
        <is>
          <t>34.29</t>
        </is>
      </c>
      <c r="K9" s="78" t="inlineStr">
        <is>
          <t>人／%</t>
        </is>
      </c>
      <c r="L9" s="78" t="inlineStr">
        <is>
          <t>人數及比例官方公布；比例已複算</t>
        </is>
      </c>
      <c r="M9" s="78" t="inlineStr">
        <is>
          <t>JUPAS-MR</t>
        </is>
      </c>
      <c r="N9" s="78" t="inlineStr">
        <is>
          <t>Distinct applicants within general table</t>
        </is>
      </c>
      <c r="O9" s="78" t="inlineStr">
        <is>
          <t>作官方一般主輪指標，或在排他規則下合併跨類別offer</t>
        </is>
      </c>
      <c r="P9" s="78" t="inlineStr">
        <is>
          <t>不是單一院校錄取率，也不是全港升學率。</t>
        </is>
      </c>
    </row>
    <row r="10" ht="30" customHeight="1">
      <c r="A10" s="77" t="inlineStr">
        <is>
          <t>JUPAS_2026_SSSDP_OFFERS</t>
        </is>
      </c>
      <c r="B10" s="77" t="inlineStr">
        <is>
          <t>JUPAS申請／結果</t>
        </is>
      </c>
      <c r="C10" s="77" t="inlineStr">
        <is>
          <t>2026</t>
        </is>
      </c>
      <c r="D10" s="77" t="inlineStr">
        <is>
          <t>Main Round result announcement</t>
        </is>
      </c>
      <c r="E10" s="77" t="inlineStr">
        <is>
          <t>2026 Main Round announcement</t>
        </is>
      </c>
      <c r="F10" s="77" t="inlineStr">
        <is>
          <t>SSSDP Main Round offer持有人數</t>
        </is>
      </c>
      <c r="G10" s="77" t="inlineStr">
        <is>
          <t>SSSDP Main Round申請人</t>
        </is>
      </c>
      <c r="H10" s="77" t="inlineStr">
        <is>
          <t>4979</t>
        </is>
      </c>
      <c r="I10" s="77" t="inlineStr"/>
      <c r="J10" s="77" t="inlineStr"/>
      <c r="K10" s="77" t="inlineStr">
        <is>
          <t>人</t>
        </is>
      </c>
      <c r="L10" s="77" t="inlineStr">
        <is>
          <t>JUPAS官方照錄</t>
        </is>
      </c>
      <c r="M10" s="77" t="inlineStr">
        <is>
          <t>JUPAS-SSSDP-MR</t>
        </is>
      </c>
      <c r="N10" s="77" t="inlineStr">
        <is>
          <t>Separate official aggregate; unique across categories due one-offer rule</t>
        </is>
      </c>
      <c r="O10" s="77" t="inlineStr">
        <is>
          <t>與一般類別合併成跨兩表唯一Main Round offer人數</t>
        </is>
      </c>
      <c r="P10" s="77" t="inlineStr">
        <is>
          <t>單頁未列一般申請人分母；單獨比值不要與一般主輪率混用。</t>
        </is>
      </c>
    </row>
    <row r="11" ht="30" customHeight="1">
      <c r="A11" s="78" t="inlineStr">
        <is>
          <t>JUPAS_2026_UNIQUE_MAIN_OFFERS</t>
        </is>
      </c>
      <c r="B11" s="78" t="inlineStr">
        <is>
          <t>JUPAS申請／結果</t>
        </is>
      </c>
      <c r="C11" s="78" t="inlineStr">
        <is>
          <t>2026</t>
        </is>
      </c>
      <c r="D11" s="78" t="inlineStr">
        <is>
          <t>Main Round result announcement</t>
        </is>
      </c>
      <c r="E11" s="78" t="inlineStr">
        <is>
          <t>2026 Main Round announcement</t>
        </is>
      </c>
      <c r="F11" s="78" t="inlineStr">
        <is>
          <t>跨一般頁及SSSDP頁唯一Main Round offer持有人數</t>
        </is>
      </c>
      <c r="G11" s="78" t="inlineStr">
        <is>
          <t>同年Main Round申請人；跨官方offer類別依一人一offer規則</t>
        </is>
      </c>
      <c r="H11" s="78" t="inlineStr">
        <is>
          <t>20598</t>
        </is>
      </c>
      <c r="I11" s="78" t="inlineStr">
        <is>
          <t>45545</t>
        </is>
      </c>
      <c r="J11" s="78" t="inlineStr">
        <is>
          <t>45.23</t>
        </is>
      </c>
      <c r="K11" s="78" t="inlineStr">
        <is>
          <t>人／%</t>
        </is>
      </c>
      <c r="L11" s="78" t="inlineStr">
        <is>
          <t>研究者跨表衍生；以官方排他規則核實</t>
        </is>
      </c>
      <c r="M11" s="78" t="inlineStr">
        <is>
          <t>JUPAS-MR;JUPAS-SSSDP-MR;JUPAS-MR-ONE-OFFER</t>
        </is>
      </c>
      <c r="N11" s="78" t="inlineStr">
        <is>
          <t>Aggregate only; policy-justified disjoint categories</t>
        </is>
      </c>
      <c r="O11" s="78" t="inlineStr">
        <is>
          <t>描述跨兩官方統計表的唯一Main Round offer比例</t>
        </is>
      </c>
      <c r="P11" s="78" t="inlineStr">
        <is>
          <t>不是已接受／註冊／入讀；不含後續輪次，也不可與EDB S6不同屆別百分比串成轉化率。</t>
        </is>
      </c>
    </row>
    <row r="12" ht="30" customHeight="1">
      <c r="A12" s="77" t="inlineStr">
        <is>
          <t>EDB_S6_2025_RESPONDENTS</t>
        </is>
      </c>
      <c r="B12" s="77" t="inlineStr">
        <is>
          <t>EDB中六出路調查</t>
        </is>
      </c>
      <c r="C12" s="77" t="inlineStr">
        <is>
          <t>2025</t>
        </is>
      </c>
      <c r="D12" s="77" t="inlineStr">
        <is>
          <t>school-level S6 destination survey</t>
        </is>
      </c>
      <c r="E12" s="77" t="inlineStr">
        <is>
          <t>2025-10</t>
        </is>
      </c>
      <c r="F12" s="77" t="inlineStr">
        <is>
          <t>Table 2.1有回應畢業生總數</t>
        </is>
      </c>
      <c r="G12" s="77" t="inlineStr">
        <is>
          <t>2024/25本地普通中學日校中六畢業生中有回應者</t>
        </is>
      </c>
      <c r="H12" s="77" t="inlineStr">
        <is>
          <t>43561</t>
        </is>
      </c>
      <c r="I12" s="77" t="inlineStr"/>
      <c r="J12" s="77" t="inlineStr"/>
      <c r="K12" s="77" t="inlineStr">
        <is>
          <t>人</t>
        </is>
      </c>
      <c r="L12" s="77" t="inlineStr">
        <is>
          <t>EDB表格照錄；目標約45,100人、公布回應率96.7%</t>
        </is>
      </c>
      <c r="M12" s="77" t="inlineStr">
        <is>
          <t>EDB-S6-2025</t>
        </is>
      </c>
      <c r="N12" s="77" t="inlineStr">
        <is>
          <t>Respondent aggregate; no JUPAS person-level match</t>
        </is>
      </c>
      <c r="O12" s="77" t="inlineStr">
        <is>
          <t>描述調查有效回應群體</t>
        </is>
      </c>
      <c r="P12" s="77" t="inlineStr">
        <is>
          <t>不等同全港所有學生；非回應者情況可能不同。</t>
        </is>
      </c>
    </row>
    <row r="13" ht="30" customHeight="1">
      <c r="A13" s="78" t="inlineStr">
        <is>
          <t>EDB_S6_2025_FULL_TIME</t>
        </is>
      </c>
      <c r="B13" s="78" t="inlineStr">
        <is>
          <t>EDB中六出路調查</t>
        </is>
      </c>
      <c r="C13" s="78" t="inlineStr">
        <is>
          <t>2025</t>
        </is>
      </c>
      <c r="D13" s="78" t="inlineStr">
        <is>
          <t>survey status snapshot</t>
        </is>
      </c>
      <c r="E13" s="78" t="inlineStr">
        <is>
          <t>2025-10</t>
        </is>
      </c>
      <c r="F13" s="78" t="inlineStr">
        <is>
          <t>全日制求學者</t>
        </is>
      </c>
      <c r="G13" s="78" t="inlineStr">
        <is>
          <t>EDB有回應畢業生</t>
        </is>
      </c>
      <c r="H13" s="78" t="inlineStr">
        <is>
          <t>40948</t>
        </is>
      </c>
      <c r="I13" s="78" t="inlineStr">
        <is>
          <t>43561</t>
        </is>
      </c>
      <c r="J13" s="78" t="inlineStr">
        <is>
          <t>94.0%</t>
        </is>
      </c>
      <c r="K13" s="78" t="inlineStr">
        <is>
          <t>人／%</t>
        </is>
      </c>
      <c r="L13" s="78" t="inlineStr">
        <is>
          <t>EDB官方公布比例；分子分母可核對</t>
        </is>
      </c>
      <c r="M13" s="78" t="inlineStr">
        <is>
          <t>EDB-S6-2025</t>
        </is>
      </c>
      <c r="N13" s="78" t="inlineStr">
        <is>
          <t>Status snapshot at October; no JUPAS route attribution</t>
        </is>
      </c>
      <c r="O13" s="78" t="inlineStr">
        <is>
          <t>描述有回應畢業生的10月活動狀態</t>
        </is>
      </c>
      <c r="P13" s="78" t="inlineStr">
        <is>
          <t>不代表大學入學率或JUPAS offer率；不代表最終、追蹤式去向。</t>
        </is>
      </c>
    </row>
    <row r="14" ht="30" customHeight="1">
      <c r="A14" s="77" t="inlineStr">
        <is>
          <t>EDB_S6_2025_BACHELOR</t>
        </is>
      </c>
      <c r="B14" s="77" t="inlineStr">
        <is>
          <t>EDB中六出路調查</t>
        </is>
      </c>
      <c r="C14" s="77" t="inlineStr">
        <is>
          <t>2025</t>
        </is>
      </c>
      <c r="D14" s="77" t="inlineStr">
        <is>
          <t>survey status snapshot</t>
        </is>
      </c>
      <c r="E14" s="77" t="inlineStr">
        <is>
          <t>2025-10</t>
        </is>
      </c>
      <c r="F14" s="77" t="inlineStr">
        <is>
          <t>學士學位課程就讀者</t>
        </is>
      </c>
      <c r="G14" s="77" t="inlineStr">
        <is>
          <t>EDB全日制求學者；包括公帑資助、自資及海外院校課程</t>
        </is>
      </c>
      <c r="H14" s="77" t="inlineStr">
        <is>
          <t>18934</t>
        </is>
      </c>
      <c r="I14" s="77" t="inlineStr">
        <is>
          <t>40948</t>
        </is>
      </c>
      <c r="J14" s="77" t="inlineStr">
        <is>
          <t>46.2%</t>
        </is>
      </c>
      <c r="K14" s="77" t="inlineStr">
        <is>
          <t>人／%</t>
        </is>
      </c>
      <c r="L14" s="77" t="inlineStr">
        <is>
          <t>EDB官方公布比例</t>
        </is>
      </c>
      <c r="M14" s="77" t="inlineStr">
        <is>
          <t>EDB-S6-2025</t>
        </is>
      </c>
      <c r="N14" s="77" t="inlineStr">
        <is>
          <t>Course type outcome; no JUPAS route attribution</t>
        </is>
      </c>
      <c r="O14" s="77" t="inlineStr">
        <is>
          <t>說明全日制求學者的課程類別分布</t>
        </is>
      </c>
      <c r="P14" s="77" t="inlineStr">
        <is>
          <t>不是JUPAS取錄人數，也不只包括本地公帑資助學位。</t>
        </is>
      </c>
    </row>
    <row r="15" ht="30" customHeight="1">
      <c r="A15" s="78" t="inlineStr">
        <is>
          <t>EDB_S6_2025_POSTSECONDARY</t>
        </is>
      </c>
      <c r="B15" s="78" t="inlineStr">
        <is>
          <t>EDB中六出路調查</t>
        </is>
      </c>
      <c r="C15" s="78" t="inlineStr">
        <is>
          <t>2025</t>
        </is>
      </c>
      <c r="D15" s="78" t="inlineStr">
        <is>
          <t>survey status snapshot</t>
        </is>
      </c>
      <c r="E15" s="78" t="inlineStr">
        <is>
          <t>2025-10</t>
        </is>
      </c>
      <c r="F15" s="78" t="inlineStr">
        <is>
          <t>副學士／高級文憑就讀者</t>
        </is>
      </c>
      <c r="G15" s="78" t="inlineStr">
        <is>
          <t>EDB全日制求學者；包括公帑資助、自資及海外院校課程</t>
        </is>
      </c>
      <c r="H15" s="78" t="inlineStr">
        <is>
          <t>13800</t>
        </is>
      </c>
      <c r="I15" s="78" t="inlineStr">
        <is>
          <t>40948</t>
        </is>
      </c>
      <c r="J15" s="78" t="inlineStr">
        <is>
          <t>33.7%</t>
        </is>
      </c>
      <c r="K15" s="78" t="inlineStr">
        <is>
          <t>人／%</t>
        </is>
      </c>
      <c r="L15" s="78" t="inlineStr">
        <is>
          <t>EDB官方公布比例</t>
        </is>
      </c>
      <c r="M15" s="78" t="inlineStr">
        <is>
          <t>EDB-S6-2025</t>
        </is>
      </c>
      <c r="N15" s="78" t="inlineStr">
        <is>
          <t>Course type outcome; no JUPAS route attribution</t>
        </is>
      </c>
      <c r="O15" s="78" t="inlineStr">
        <is>
          <t>說明專上課程類別實際出路</t>
        </is>
      </c>
      <c r="P15" s="78" t="inlineStr">
        <is>
          <t>不是JUPAS SSSDP offer數，也不等同副學位最低要求達標數。</t>
        </is>
      </c>
    </row>
    <row r="16" ht="30" customHeight="1">
      <c r="A16" s="77" t="inlineStr">
        <is>
          <t>UGC_FYFD_HKDSE_JUPAS_ROUTE_2021_22</t>
        </is>
      </c>
      <c r="B16" s="77" t="inlineStr">
        <is>
          <t>實際入讀／UGC-funded FYFD途徑構成</t>
        </is>
      </c>
      <c r="C16" s="77" t="inlineStr">
        <is>
          <t>2021/22</t>
        </is>
      </c>
      <c r="D16" s="77" t="inlineStr">
        <is>
          <t>UGC-funded FYFD entrants with HKDSE results</t>
        </is>
      </c>
      <c r="E16" s="77" t="inlineStr">
        <is>
          <t>2021/22 admission cohort</t>
        </is>
      </c>
      <c r="F16" s="77" t="inlineStr">
        <is>
          <t>已入讀者中經JUPAS途徑人數／同一HKDSE入讀子群</t>
        </is>
      </c>
      <c r="G16" s="77" t="inlineStr">
        <is>
          <t>已入讀UGC-funded FYFD且具HKDSE成績的學生</t>
        </is>
      </c>
      <c r="H16" s="77" t="inlineStr">
        <is>
          <t>12225</t>
        </is>
      </c>
      <c r="I16" s="77" t="inlineStr">
        <is>
          <t>12306</t>
        </is>
      </c>
      <c r="J16" s="77" t="inlineStr">
        <is>
          <t>99.34%</t>
        </is>
      </c>
      <c r="K16" s="77" t="inlineStr">
        <is>
          <t>人／比例</t>
        </is>
      </c>
      <c r="L16" s="77" t="inlineStr">
        <is>
          <t>本研究按政府公布的兩途徑入讀數複算；不是錄取率</t>
        </is>
      </c>
      <c r="M16" s="77" t="inlineStr">
        <is>
          <t>EDU-LCQ-2024-UGC-FYFD</t>
        </is>
      </c>
      <c r="N16" s="77" t="inlineStr">
        <is>
          <t>Aggregate only; no link to JUPAS offer recipients</t>
        </is>
      </c>
      <c r="O16" s="77" t="inlineStr">
        <is>
          <t>描述已入讀HKDSE子群的途徑構成</t>
        </is>
      </c>
      <c r="P16" s="77" t="inlineStr">
        <is>
          <t>分母不是JUPAS applicants或Main Round offers；不代表所有UGC FYFD entrants。</t>
        </is>
      </c>
    </row>
    <row r="17" ht="30" customHeight="1">
      <c r="A17" s="78" t="inlineStr">
        <is>
          <t>UGC_FYFD_HKDSE_JUPAS_ROUTE_2022_23</t>
        </is>
      </c>
      <c r="B17" s="78" t="inlineStr">
        <is>
          <t>實際入讀／UGC-funded FYFD途徑構成</t>
        </is>
      </c>
      <c r="C17" s="78" t="inlineStr">
        <is>
          <t>2022/23</t>
        </is>
      </c>
      <c r="D17" s="78" t="inlineStr">
        <is>
          <t>UGC-funded FYFD entrants with HKDSE results</t>
        </is>
      </c>
      <c r="E17" s="78" t="inlineStr">
        <is>
          <t>2022/23 admission cohort</t>
        </is>
      </c>
      <c r="F17" s="78" t="inlineStr">
        <is>
          <t>已入讀者中經JUPAS途徑人數／同一HKDSE入讀子群</t>
        </is>
      </c>
      <c r="G17" s="78" t="inlineStr">
        <is>
          <t>已入讀UGC-funded FYFD且具HKDSE成績的學生</t>
        </is>
      </c>
      <c r="H17" s="78" t="inlineStr">
        <is>
          <t>12178</t>
        </is>
      </c>
      <c r="I17" s="78" t="inlineStr">
        <is>
          <t>12197</t>
        </is>
      </c>
      <c r="J17" s="78" t="inlineStr">
        <is>
          <t>99.84%</t>
        </is>
      </c>
      <c r="K17" s="78" t="inlineStr">
        <is>
          <t>人／比例</t>
        </is>
      </c>
      <c r="L17" s="78" t="inlineStr">
        <is>
          <t>本研究按政府公布的兩途徑入讀數複算；不是錄取率</t>
        </is>
      </c>
      <c r="M17" s="78" t="inlineStr">
        <is>
          <t>EDU-LCQ-2024-UGC-FYFD</t>
        </is>
      </c>
      <c r="N17" s="78" t="inlineStr">
        <is>
          <t>Aggregate only; no link to JUPAS offer recipients</t>
        </is>
      </c>
      <c r="O17" s="78" t="inlineStr">
        <is>
          <t>描述已入讀HKDSE子群的途徑構成</t>
        </is>
      </c>
      <c r="P17" s="78" t="inlineStr">
        <is>
          <t>分母不是JUPAS applicants或Main Round offers；不代表所有UGC FYFD entrants。</t>
        </is>
      </c>
    </row>
    <row r="18" ht="30" customHeight="1">
      <c r="A18" s="77" t="inlineStr">
        <is>
          <t>UGC_FYFD_HKDSE_JUPAS_ROUTE_2023_24</t>
        </is>
      </c>
      <c r="B18" s="77" t="inlineStr">
        <is>
          <t>實際入讀／UGC-funded FYFD途徑構成</t>
        </is>
      </c>
      <c r="C18" s="77" t="inlineStr">
        <is>
          <t>2023/24</t>
        </is>
      </c>
      <c r="D18" s="77" t="inlineStr">
        <is>
          <t>UGC-funded FYFD entrants with HKDSE results</t>
        </is>
      </c>
      <c r="E18" s="77" t="inlineStr">
        <is>
          <t>2023/24 admission cohort</t>
        </is>
      </c>
      <c r="F18" s="77" t="inlineStr">
        <is>
          <t>已入讀者中經JUPAS途徑人數／同一HKDSE入讀子群</t>
        </is>
      </c>
      <c r="G18" s="77" t="inlineStr">
        <is>
          <t>已入讀UGC-funded FYFD且具HKDSE成績的學生</t>
        </is>
      </c>
      <c r="H18" s="77" t="inlineStr">
        <is>
          <t>12590</t>
        </is>
      </c>
      <c r="I18" s="77" t="inlineStr">
        <is>
          <t>12611</t>
        </is>
      </c>
      <c r="J18" s="77" t="inlineStr">
        <is>
          <t>99.83%</t>
        </is>
      </c>
      <c r="K18" s="77" t="inlineStr">
        <is>
          <t>人／比例</t>
        </is>
      </c>
      <c r="L18" s="77" t="inlineStr">
        <is>
          <t>本研究按政府公布的兩途徑入讀數複算；不是錄取率</t>
        </is>
      </c>
      <c r="M18" s="77" t="inlineStr">
        <is>
          <t>EDU-LCQ-2024-UGC-FYFD</t>
        </is>
      </c>
      <c r="N18" s="77" t="inlineStr">
        <is>
          <t>Aggregate only; no link to JUPAS offer recipients</t>
        </is>
      </c>
      <c r="O18" s="77" t="inlineStr">
        <is>
          <t>描述已入讀HKDSE子群的途徑構成</t>
        </is>
      </c>
      <c r="P18" s="77" t="inlineStr">
        <is>
          <t>分母不是JUPAS applicants或Main Round offers；不代表所有UGC FYFD entrants。</t>
        </is>
      </c>
    </row>
    <row r="19" ht="30" customHeight="1">
      <c r="A19" s="78" t="inlineStr">
        <is>
          <t>UGC_FYFD_DEPENDANT_JUPAS_2022_23</t>
        </is>
      </c>
      <c r="B19" s="78" t="inlineStr">
        <is>
          <t>實際入讀／簽證子群</t>
        </is>
      </c>
      <c r="C19" s="78" t="inlineStr">
        <is>
          <t>2022/23</t>
        </is>
      </c>
      <c r="D19" s="78" t="inlineStr">
        <is>
          <t>dependant visa/entry permit holders admitted through JUPAS</t>
        </is>
      </c>
      <c r="E19" s="78" t="inlineStr">
        <is>
          <t>2022/23 admission cohort</t>
        </is>
      </c>
      <c r="F19" s="78" t="inlineStr">
        <is>
          <t>受養人簽證持有人經JUPAS入讀UGC-funded FYFD人數</t>
        </is>
      </c>
      <c r="G19" s="78" t="inlineStr">
        <is>
          <t>政府答覆所列受養人簽證／進入許可持有人</t>
        </is>
      </c>
      <c r="H19" s="78" t="inlineStr">
        <is>
          <t>62</t>
        </is>
      </c>
      <c r="I19" s="78" t="inlineStr"/>
      <c r="J19" s="78" t="inlineStr"/>
      <c r="K19" s="78" t="inlineStr">
        <is>
          <t>人</t>
        </is>
      </c>
      <c r="L19" s="78" t="inlineStr">
        <is>
          <t>官方照錄；沒有全體分母</t>
        </is>
      </c>
      <c r="M19" s="78" t="inlineStr">
        <is>
          <t>EDU-LCQ-2025-DEPENDANT</t>
        </is>
      </c>
      <c r="N19" s="78" t="inlineStr">
        <is>
          <t>Aggregate only; subgroup count</t>
        </is>
      </c>
      <c r="O19" s="78" t="inlineStr">
        <is>
          <t>呈現政府已公布的特定入讀子群</t>
        </is>
      </c>
      <c r="P19" s="78" t="inlineStr">
        <is>
          <t>不是該年全部JUPAS錄取數，不能補足全體途徑拆分。</t>
        </is>
      </c>
    </row>
    <row r="20" ht="30" customHeight="1">
      <c r="A20" s="77" t="inlineStr">
        <is>
          <t>UGC_FYFD_DEPENDANT_JUPAS_2023_24</t>
        </is>
      </c>
      <c r="B20" s="77" t="inlineStr">
        <is>
          <t>實際入讀／簽證子群</t>
        </is>
      </c>
      <c r="C20" s="77" t="inlineStr">
        <is>
          <t>2023/24</t>
        </is>
      </c>
      <c r="D20" s="77" t="inlineStr">
        <is>
          <t>dependant visa/entry permit holders admitted through JUPAS</t>
        </is>
      </c>
      <c r="E20" s="77" t="inlineStr">
        <is>
          <t>2023/24 admission cohort</t>
        </is>
      </c>
      <c r="F20" s="77" t="inlineStr">
        <is>
          <t>受養人簽證持有人經JUPAS入讀UGC-funded FYFD人數</t>
        </is>
      </c>
      <c r="G20" s="77" t="inlineStr">
        <is>
          <t>政府答覆所列受養人簽證／進入許可持有人</t>
        </is>
      </c>
      <c r="H20" s="77" t="inlineStr">
        <is>
          <t>68</t>
        </is>
      </c>
      <c r="I20" s="77" t="inlineStr"/>
      <c r="J20" s="77" t="inlineStr"/>
      <c r="K20" s="77" t="inlineStr">
        <is>
          <t>人</t>
        </is>
      </c>
      <c r="L20" s="77" t="inlineStr">
        <is>
          <t>官方照錄；沒有全體分母</t>
        </is>
      </c>
      <c r="M20" s="77" t="inlineStr">
        <is>
          <t>EDU-LCQ-2025-DEPENDANT</t>
        </is>
      </c>
      <c r="N20" s="77" t="inlineStr">
        <is>
          <t>Aggregate only; subgroup count</t>
        </is>
      </c>
      <c r="O20" s="77" t="inlineStr">
        <is>
          <t>呈現政府已公布的特定入讀子群</t>
        </is>
      </c>
      <c r="P20" s="77" t="inlineStr">
        <is>
          <t>不是該年全部JUPAS錄取數，不能補足全體途徑拆分。</t>
        </is>
      </c>
    </row>
    <row r="21" ht="30" customHeight="1">
      <c r="A21" s="78" t="inlineStr">
        <is>
          <t>UGC_FYFD_DEPENDANT_JUPAS_2024_25</t>
        </is>
      </c>
      <c r="B21" s="78" t="inlineStr">
        <is>
          <t>實際入讀／簽證子群</t>
        </is>
      </c>
      <c r="C21" s="78" t="inlineStr">
        <is>
          <t>2024/25</t>
        </is>
      </c>
      <c r="D21" s="78" t="inlineStr">
        <is>
          <t>dependant visa/entry permit holders admitted through JUPAS</t>
        </is>
      </c>
      <c r="E21" s="78" t="inlineStr">
        <is>
          <t>2024/25 admission cohort</t>
        </is>
      </c>
      <c r="F21" s="78" t="inlineStr">
        <is>
          <t>受養人簽證持有人經JUPAS入讀UGC-funded FYFD人數</t>
        </is>
      </c>
      <c r="G21" s="78" t="inlineStr">
        <is>
          <t>政府答覆所列受養人簽證／進入許可持有人</t>
        </is>
      </c>
      <c r="H21" s="78" t="inlineStr">
        <is>
          <t>185</t>
        </is>
      </c>
      <c r="I21" s="78" t="inlineStr"/>
      <c r="J21" s="78" t="inlineStr"/>
      <c r="K21" s="78" t="inlineStr">
        <is>
          <t>人</t>
        </is>
      </c>
      <c r="L21" s="78" t="inlineStr">
        <is>
          <t>官方照錄；沒有全體分母</t>
        </is>
      </c>
      <c r="M21" s="78" t="inlineStr">
        <is>
          <t>EDU-LCQ-2025-DEPENDANT</t>
        </is>
      </c>
      <c r="N21" s="78" t="inlineStr">
        <is>
          <t>Aggregate only; subgroup count</t>
        </is>
      </c>
      <c r="O21" s="78" t="inlineStr">
        <is>
          <t>呈現政府已公布的特定入讀子群</t>
        </is>
      </c>
      <c r="P21" s="78" t="inlineStr">
        <is>
          <t>不是該年全部JUPAS錄取數，不能補足全體途徑拆分。</t>
        </is>
      </c>
    </row>
    <row r="22" ht="30" customHeight="1">
      <c r="A22" s="77" t="inlineStr">
        <is>
          <t>JUPAS_2026_RR_REQUESTS</t>
        </is>
      </c>
      <c r="B22" s="77" t="inlineStr">
        <is>
          <t>JUPAS重審／offer結果</t>
        </is>
      </c>
      <c r="C22" s="77" t="inlineStr">
        <is>
          <t>2026</t>
        </is>
      </c>
      <c r="D22" s="77" t="inlineStr">
        <is>
          <t>RR requests after upgraded HKDSE rechecking/remarking results</t>
        </is>
      </c>
      <c r="E22" s="77" t="inlineStr">
        <is>
          <t>2026 reconsideration-result publication</t>
        </is>
      </c>
      <c r="F22" s="77" t="inlineStr">
        <is>
          <t>提出重審申請人數</t>
        </is>
      </c>
      <c r="G22" s="77" t="inlineStr">
        <is>
          <t>提出重審申請的453人</t>
        </is>
      </c>
      <c r="H22" s="77" t="inlineStr">
        <is>
          <t>453</t>
        </is>
      </c>
      <c r="I22" s="77" t="inlineStr"/>
      <c r="J22" s="77" t="inlineStr"/>
      <c r="K22" s="77" t="inlineStr">
        <is>
          <t>人</t>
        </is>
      </c>
      <c r="L22" s="77" t="inlineStr">
        <is>
          <t>官方照錄</t>
        </is>
      </c>
      <c r="M22" s="77" t="inlineStr">
        <is>
          <t>JUPAS-2026-RR</t>
        </is>
      </c>
      <c r="N22" s="77" t="inlineStr">
        <is>
          <t>Aggregate only; not linked to paid acceptance / institutional registration</t>
        </is>
      </c>
      <c r="O22" s="77" t="inlineStr">
        <is>
          <t>描述RR後offer狀態分類</t>
        </is>
      </c>
      <c r="P22" s="77" t="inlineStr">
        <is>
          <t>所有重審申請者；不代表接受offer、繳費、註冊或實際入讀。</t>
        </is>
      </c>
    </row>
    <row r="23" ht="30" customHeight="1">
      <c r="A23" s="78" t="inlineStr">
        <is>
          <t>JUPAS_2026_RR_UGC_HKMU</t>
        </is>
      </c>
      <c r="B23" s="78" t="inlineStr">
        <is>
          <t>JUPAS重審／offer結果</t>
        </is>
      </c>
      <c r="C23" s="78" t="inlineStr">
        <is>
          <t>2026</t>
        </is>
      </c>
      <c r="D23" s="78" t="inlineStr">
        <is>
          <t>RR requests after upgraded HKDSE rechecking/remarking results</t>
        </is>
      </c>
      <c r="E23" s="78" t="inlineStr">
        <is>
          <t>2026 reconsideration-result publication</t>
        </is>
      </c>
      <c r="F23" s="78" t="inlineStr">
        <is>
          <t>UGC/HKMU較佳offer或獲offer分類</t>
        </is>
      </c>
      <c r="G23" s="78" t="inlineStr">
        <is>
          <t>提出重審申請的453人</t>
        </is>
      </c>
      <c r="H23" s="78" t="inlineStr">
        <is>
          <t>244</t>
        </is>
      </c>
      <c r="I23" s="78" t="inlineStr">
        <is>
          <t>453</t>
        </is>
      </c>
      <c r="J23" s="78" t="inlineStr">
        <is>
          <t>53.86%</t>
        </is>
      </c>
      <c r="K23" s="78" t="inlineStr">
        <is>
          <t>人／重審申請者比例</t>
        </is>
      </c>
      <c r="L23" s="78" t="inlineStr">
        <is>
          <t>官方照錄；比例由本研究複算</t>
        </is>
      </c>
      <c r="M23" s="78" t="inlineStr">
        <is>
          <t>JUPAS-2026-RR</t>
        </is>
      </c>
      <c r="N23" s="78" t="inlineStr">
        <is>
          <t>Aggregate only; not linked to paid acceptance / institutional registration</t>
        </is>
      </c>
      <c r="O23" s="78" t="inlineStr">
        <is>
          <t>描述RR後offer狀態分類</t>
        </is>
      </c>
      <c r="P23" s="78" t="inlineStr">
        <is>
          <t>offer結果分類；未表示接受；不代表接受offer、繳費、註冊或實際入讀。</t>
        </is>
      </c>
    </row>
    <row r="24" ht="30" customHeight="1">
      <c r="A24" s="77" t="inlineStr">
        <is>
          <t>JUPAS_2026_RR_SSSDP</t>
        </is>
      </c>
      <c r="B24" s="77" t="inlineStr">
        <is>
          <t>JUPAS重審／offer結果</t>
        </is>
      </c>
      <c r="C24" s="77" t="inlineStr">
        <is>
          <t>2026</t>
        </is>
      </c>
      <c r="D24" s="77" t="inlineStr">
        <is>
          <t>RR requests after upgraded HKDSE rechecking/remarking results</t>
        </is>
      </c>
      <c r="E24" s="77" t="inlineStr">
        <is>
          <t>2026 reconsideration-result publication</t>
        </is>
      </c>
      <c r="F24" s="77" t="inlineStr">
        <is>
          <t>SSSDP較佳offer或獲offer分類</t>
        </is>
      </c>
      <c r="G24" s="77" t="inlineStr">
        <is>
          <t>提出重審申請的453人</t>
        </is>
      </c>
      <c r="H24" s="77" t="inlineStr">
        <is>
          <t>43</t>
        </is>
      </c>
      <c r="I24" s="77" t="inlineStr">
        <is>
          <t>453</t>
        </is>
      </c>
      <c r="J24" s="77" t="inlineStr">
        <is>
          <t>9.49%</t>
        </is>
      </c>
      <c r="K24" s="77" t="inlineStr">
        <is>
          <t>人／重審申請者比例</t>
        </is>
      </c>
      <c r="L24" s="77" t="inlineStr">
        <is>
          <t>官方照錄；比例由本研究複算</t>
        </is>
      </c>
      <c r="M24" s="77" t="inlineStr">
        <is>
          <t>JUPAS-2026-RR</t>
        </is>
      </c>
      <c r="N24" s="77" t="inlineStr">
        <is>
          <t>Aggregate only; not linked to paid acceptance / institutional registration</t>
        </is>
      </c>
      <c r="O24" s="77" t="inlineStr">
        <is>
          <t>描述RR後offer狀態分類</t>
        </is>
      </c>
      <c r="P24" s="77" t="inlineStr">
        <is>
          <t>offer結果分類；未表示接受；不代表接受offer、繳費、註冊或實際入讀。</t>
        </is>
      </c>
    </row>
    <row r="25" ht="30" customHeight="1">
      <c r="A25" s="78" t="inlineStr">
        <is>
          <t>JUPAS_2026_RR_UNCHANGED</t>
        </is>
      </c>
      <c r="B25" s="78" t="inlineStr">
        <is>
          <t>JUPAS重審／offer結果</t>
        </is>
      </c>
      <c r="C25" s="78" t="inlineStr">
        <is>
          <t>2026</t>
        </is>
      </c>
      <c r="D25" s="78" t="inlineStr">
        <is>
          <t>RR requests after upgraded HKDSE rechecking/remarking results</t>
        </is>
      </c>
      <c r="E25" s="78" t="inlineStr">
        <is>
          <t>2026 reconsideration-result publication</t>
        </is>
      </c>
      <c r="F25" s="78" t="inlineStr">
        <is>
          <t>Main Round offer狀態不變</t>
        </is>
      </c>
      <c r="G25" s="78" t="inlineStr">
        <is>
          <t>提出重審申請的453人</t>
        </is>
      </c>
      <c r="H25" s="78" t="inlineStr">
        <is>
          <t>166</t>
        </is>
      </c>
      <c r="I25" s="78" t="inlineStr">
        <is>
          <t>453</t>
        </is>
      </c>
      <c r="J25" s="78" t="inlineStr">
        <is>
          <t>36.64%</t>
        </is>
      </c>
      <c r="K25" s="78" t="inlineStr">
        <is>
          <t>人／重審申請者比例</t>
        </is>
      </c>
      <c r="L25" s="78" t="inlineStr">
        <is>
          <t>官方照錄；比例由本研究複算</t>
        </is>
      </c>
      <c r="M25" s="78" t="inlineStr">
        <is>
          <t>JUPAS-2026-RR</t>
        </is>
      </c>
      <c r="N25" s="78" t="inlineStr">
        <is>
          <t>Aggregate only; not linked to paid acceptance / institutional registration</t>
        </is>
      </c>
      <c r="O25" s="78" t="inlineStr">
        <is>
          <t>描述RR後offer狀態分類</t>
        </is>
      </c>
      <c r="P25" s="78" t="inlineStr">
        <is>
          <t>狀態不變分類；不是拒絕或未註冊；不代表接受offer、繳費、註冊或實際入讀。</t>
        </is>
      </c>
    </row>
    <row r="26" ht="30" customHeight="1">
      <c r="A26" s="77" t="inlineStr">
        <is>
          <t>JUPAS_2026_ACCEPTANCE_REGISTRATION_GAP</t>
        </is>
      </c>
      <c r="B26" s="77" t="inlineStr">
        <is>
          <t>接受offer／院校註冊</t>
        </is>
      </c>
      <c r="C26" s="77" t="inlineStr">
        <is>
          <t>2026</t>
        </is>
      </c>
      <c r="D26" s="77" t="inlineStr">
        <is>
          <t>Main Round and subsequent offers</t>
        </is>
      </c>
      <c r="E26" s="77" t="inlineStr">
        <is>
          <t>offer deadlines in 2026 admissions exercise</t>
        </is>
      </c>
      <c r="F26" s="77" t="inlineStr">
        <is>
          <t>官方公開統計中完成繳費接受及院校註冊人數</t>
        </is>
      </c>
      <c r="G26" s="77" t="inlineStr">
        <is>
          <t>獲得Main Round或後續offer者</t>
        </is>
      </c>
      <c r="H26" s="77" t="inlineStr"/>
      <c r="I26" s="77" t="inlineStr"/>
      <c r="J26" s="77" t="inlineStr"/>
      <c r="K26" s="77" t="inlineStr">
        <is>
          <t>未公布</t>
        </is>
      </c>
      <c r="L26" s="77" t="inlineStr">
        <is>
          <t>程序有官方說明；本輪查閱的公開統計頁未見合計完成數</t>
        </is>
      </c>
      <c r="M26" s="77" t="inlineStr">
        <is>
          <t>JUPAS-2026-ACCEPT;JUPAS-2026-ACCEPT-DETAIL;JUPAS-MR</t>
        </is>
      </c>
      <c r="N26" s="77" t="inlineStr">
        <is>
          <t>No published aggregate count located in the reviewed official pages</t>
        </is>
      </c>
      <c r="O26" s="77" t="inlineStr">
        <is>
          <t>標示資料缺口；不能計算接受率</t>
        </is>
      </c>
      <c r="P26" s="77" t="inlineStr">
        <is>
          <t>空白／未公布不等於0；個人帳戶會記錄程序，但不可據此推出全體人數。</t>
        </is>
      </c>
    </row>
    <row r="27" ht="30" customHeight="1">
      <c r="A27" s="78" t="inlineStr">
        <is>
          <t>SNDAS_2026_NOMINATIONS</t>
        </is>
      </c>
      <c r="B27" s="78" t="inlineStr">
        <is>
          <t>學校提名／SNDAS選拔</t>
        </is>
      </c>
      <c r="C27" s="78" t="inlineStr">
        <is>
          <t>2026</t>
        </is>
      </c>
      <c r="D27" s="78" t="inlineStr">
        <is>
          <t>fifth cohort; 2026 HKDSE</t>
        </is>
      </c>
      <c r="E27" s="78" t="inlineStr">
        <is>
          <t>2026年7月9日選拔完成公告</t>
        </is>
      </c>
      <c r="F27" s="78" t="inlineStr">
        <is>
          <t>有效提名數</t>
        </is>
      </c>
      <c r="G27" s="78" t="inlineStr">
        <is>
          <t>由433所中學提交有效提名的第五屆SNDAS nomination group</t>
        </is>
      </c>
      <c r="H27" s="78" t="inlineStr">
        <is>
          <t>847</t>
        </is>
      </c>
      <c r="I27" s="78" t="inlineStr"/>
      <c r="J27" s="78" t="inlineStr"/>
      <c r="K27" s="78" t="inlineStr">
        <is>
          <t>人／有效提名</t>
        </is>
      </c>
      <c r="L27" s="78" t="inlineStr">
        <is>
          <t>官方照錄</t>
        </is>
      </c>
      <c r="M27" s="78" t="inlineStr">
        <is>
          <t>SNDAS-2026-COHORT5</t>
        </is>
      </c>
      <c r="N27" s="78" t="inlineStr">
        <is>
          <t>Aggregate only; not linked to JUPAS applicant-level records</t>
        </is>
      </c>
      <c r="O27" s="78" t="inlineStr">
        <is>
          <t>描述SNDAS特定提名群體規模</t>
        </is>
      </c>
      <c r="P27" s="78" t="inlineStr">
        <is>
          <t>不是全體HKDSE考生、全體JUPAS申請人或未提名者母體。</t>
        </is>
      </c>
    </row>
    <row r="28" ht="30" customHeight="1">
      <c r="A28" s="77" t="inlineStr">
        <is>
          <t>SNDAS_2026_NOMINATION_TO_OFFER</t>
        </is>
      </c>
      <c r="B28" s="77" t="inlineStr">
        <is>
          <t>直接錄取offer／SNDAS</t>
        </is>
      </c>
      <c r="C28" s="77" t="inlineStr">
        <is>
          <t>2026</t>
        </is>
      </c>
      <c r="D28" s="77" t="inlineStr">
        <is>
          <t>fifth cohort; 2026 HKDSE</t>
        </is>
      </c>
      <c r="E28" s="77" t="inlineStr">
        <is>
          <t>2026年7月9日選拔完成公告</t>
        </is>
      </c>
      <c r="F28" s="77" t="inlineStr">
        <is>
          <t>有效提名至直接offer轉化比例</t>
        </is>
      </c>
      <c r="G28" s="77" t="inlineStr">
        <is>
          <t>第五屆SNDAS有效提名人群</t>
        </is>
      </c>
      <c r="H28" s="77" t="inlineStr">
        <is>
          <t>325</t>
        </is>
      </c>
      <c r="I28" s="77" t="inlineStr">
        <is>
          <t>847</t>
        </is>
      </c>
      <c r="J28" s="77" t="inlineStr">
        <is>
          <t>38.37%</t>
        </is>
      </c>
      <c r="K28" s="77" t="inlineStr">
        <is>
          <t>份offer／有效提名</t>
        </is>
      </c>
      <c r="L28" s="77" t="inlineStr">
        <is>
          <t>官方分子分母；比例由本研究複算</t>
        </is>
      </c>
      <c r="M28" s="77" t="inlineStr">
        <is>
          <t>SNDAS-2026-COHORT5</t>
        </is>
      </c>
      <c r="N28" s="77" t="inlineStr">
        <is>
          <t>Aggregate only; not linked to JUPAS applicant-level records</t>
        </is>
      </c>
      <c r="O28" s="77" t="inlineStr">
        <is>
          <t>描述已由學校提名者在SNDAS計劃內由提名到offer的比例</t>
        </is>
      </c>
      <c r="P28" s="77" t="inlineStr">
        <is>
          <t>非個人錄取機率；不能與JUPAS Main Round offer率直接相比。</t>
        </is>
      </c>
    </row>
    <row r="29" ht="30" customHeight="1">
      <c r="A29" s="78" t="inlineStr">
        <is>
          <t>SNDAS_2026_OFFER_ACCEPTANCE</t>
        </is>
      </c>
      <c r="B29" s="78" t="inlineStr">
        <is>
          <t>直接錄取接受／SNDAS</t>
        </is>
      </c>
      <c r="C29" s="78" t="inlineStr">
        <is>
          <t>2026</t>
        </is>
      </c>
      <c r="D29" s="78" t="inlineStr">
        <is>
          <t>fifth cohort; 2026 HKDSE</t>
        </is>
      </c>
      <c r="E29" s="78" t="inlineStr">
        <is>
          <t>2026年7月9日選拔完成公告</t>
        </is>
      </c>
      <c r="F29" s="78" t="inlineStr">
        <is>
          <t>offer接受比例</t>
        </is>
      </c>
      <c r="G29" s="78" t="inlineStr">
        <is>
          <t>第五屆SNDAS獲直接錄取offer者</t>
        </is>
      </c>
      <c r="H29" s="78" t="inlineStr">
        <is>
          <t>319</t>
        </is>
      </c>
      <c r="I29" s="78" t="inlineStr">
        <is>
          <t>325</t>
        </is>
      </c>
      <c r="J29" s="78" t="inlineStr">
        <is>
          <t>98.15%</t>
        </is>
      </c>
      <c r="K29" s="78" t="inlineStr">
        <is>
          <t>名／offer</t>
        </is>
      </c>
      <c r="L29" s="78" t="inlineStr">
        <is>
          <t>官方分子分母；比例由本研究複算</t>
        </is>
      </c>
      <c r="M29" s="78" t="inlineStr">
        <is>
          <t>SNDAS-2026-COHORT5</t>
        </is>
      </c>
      <c r="N29" s="78" t="inlineStr">
        <is>
          <t>Aggregate only; accepted offers are not linked to post-September registration records</t>
        </is>
      </c>
      <c r="O29" s="78" t="inlineStr">
        <is>
          <t>描述接受SNDAS firm offer的人數比例</t>
        </is>
      </c>
      <c r="P29" s="78" t="inlineStr">
        <is>
          <t>不是JUPAS繳費接受率或實際註冊率；官方公告為未來式「將於9月入讀」，未提供開學後完成註冊數。</t>
        </is>
      </c>
    </row>
  </sheetData>
  <autoFilter ref="A1:P29"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16" customWidth="1" min="3" max="3"/>
    <col width="34" customWidth="1" min="4" max="4"/>
    <col width="40" customWidth="1" min="5" max="5"/>
    <col width="14" customWidth="1" min="6" max="6"/>
    <col width="14" customWidth="1" min="7" max="7"/>
    <col width="18" customWidth="1" min="8" max="8"/>
    <col width="22" customWidth="1" min="9" max="9"/>
    <col width="32" customWidth="1" min="10" max="10"/>
    <col width="70" customWidth="1" min="11" max="11"/>
    <col width="26" customWidth="1" min="12" max="12"/>
  </cols>
  <sheetData>
    <row r="1" ht="32" customHeight="1">
      <c r="A1" s="76" t="inlineStr">
        <is>
          <t>metric_id</t>
        </is>
      </c>
      <c r="B1" s="76" t="inlineStr">
        <is>
          <t>cohort</t>
        </is>
      </c>
      <c r="C1" s="76" t="inlineStr">
        <is>
          <t>stage</t>
        </is>
      </c>
      <c r="D1" s="76" t="inlineStr">
        <is>
          <t>numerator</t>
        </is>
      </c>
      <c r="E1" s="76" t="inlineStr">
        <is>
          <t>denominator</t>
        </is>
      </c>
      <c r="F1" s="76" t="inlineStr">
        <is>
          <t>value</t>
        </is>
      </c>
      <c r="G1" s="76" t="inlineStr">
        <is>
          <t>unit</t>
        </is>
      </c>
      <c r="H1" s="76" t="inlineStr">
        <is>
          <t>value_type</t>
        </is>
      </c>
      <c r="I1" s="76" t="inlineStr">
        <is>
          <t>population_scope</t>
        </is>
      </c>
      <c r="J1" s="76" t="inlineStr">
        <is>
          <t>source_id</t>
        </is>
      </c>
      <c r="K1" s="76" t="inlineStr">
        <is>
          <t>source_location</t>
        </is>
      </c>
      <c r="L1" s="76" t="inlineStr">
        <is>
          <t>interpretation_limit</t>
        </is>
      </c>
    </row>
    <row r="2" ht="30" customHeight="1">
      <c r="A2" s="77" t="inlineStr">
        <is>
          <t>SNDAS_FIFTH_VALID_NOMINATIONS_2026</t>
        </is>
      </c>
      <c r="B2" s="77" t="inlineStr">
        <is>
          <t>2026 intake / 5th cohort</t>
        </is>
      </c>
      <c r="C2" s="77" t="inlineStr">
        <is>
          <t>valid school nominations</t>
        </is>
      </c>
      <c r="D2" s="77" t="inlineStr">
        <is>
          <t>847</t>
        </is>
      </c>
      <c r="E2" s="77" t="inlineStr"/>
      <c r="F2" s="77" t="inlineStr">
        <is>
          <t>847</t>
        </is>
      </c>
      <c r="G2" s="77" t="inlineStr">
        <is>
          <t>人／有效提名</t>
        </is>
      </c>
      <c r="H2" s="77" t="inlineStr">
        <is>
          <t>官方照錄</t>
        </is>
      </c>
      <c r="I2" s="77" t="inlineStr">
        <is>
          <t>2026 HKDSE cohort; valid SNDAS nominations from 433 secondary schools</t>
        </is>
      </c>
      <c r="J2" s="77" t="inlineStr">
        <is>
          <t>SNDAS-2026-COHORT5</t>
        </is>
      </c>
      <c r="K2" s="77" t="inlineStr">
        <is>
          <t>EDB press release, paragraph 1</t>
        </is>
      </c>
      <c r="L2" s="77" t="inlineStr">
        <is>
          <t>提名者已經過學校提名；不代表所有DSE考生或個人申請人母體。</t>
        </is>
      </c>
    </row>
    <row r="3" ht="30" customHeight="1">
      <c r="A3" s="78" t="inlineStr">
        <is>
          <t>SNDAS_FIFTH_NOMINATING_SCHOOLS_2026</t>
        </is>
      </c>
      <c r="B3" s="78" t="inlineStr">
        <is>
          <t>2026 intake / 5th cohort</t>
        </is>
      </c>
      <c r="C3" s="78" t="inlineStr">
        <is>
          <t>schools with valid nominations</t>
        </is>
      </c>
      <c r="D3" s="78" t="inlineStr"/>
      <c r="E3" s="78" t="inlineStr"/>
      <c r="F3" s="78" t="inlineStr">
        <is>
          <t>433</t>
        </is>
      </c>
      <c r="G3" s="78" t="inlineStr">
        <is>
          <t>所</t>
        </is>
      </c>
      <c r="H3" s="78" t="inlineStr">
        <is>
          <t>官方照錄</t>
        </is>
      </c>
      <c r="I3" s="78" t="inlineStr">
        <is>
          <t>Secondary schools that submitted valid nominations</t>
        </is>
      </c>
      <c r="J3" s="78" t="inlineStr">
        <is>
          <t>SNDAS-2026-COHORT5</t>
        </is>
      </c>
      <c r="K3" s="78" t="inlineStr">
        <is>
          <t>EDB press release, paragraph 1</t>
        </is>
      </c>
      <c r="L3" s="78" t="inlineStr">
        <is>
          <t>不是全港中學總數。</t>
        </is>
      </c>
    </row>
    <row r="4" ht="30" customHeight="1">
      <c r="A4" s="77" t="inlineStr">
        <is>
          <t>SNDAS_FIFTH_DIRECT_OFFERS_2026</t>
        </is>
      </c>
      <c r="B4" s="77" t="inlineStr">
        <is>
          <t>2026 intake / 5th cohort</t>
        </is>
      </c>
      <c r="C4" s="77" t="inlineStr">
        <is>
          <t>firm direct offers before HKDSE results</t>
        </is>
      </c>
      <c r="D4" s="77" t="inlineStr"/>
      <c r="E4" s="77" t="inlineStr"/>
      <c r="F4" s="77" t="inlineStr">
        <is>
          <t>325</t>
        </is>
      </c>
      <c r="G4" s="77" t="inlineStr">
        <is>
          <t>人／offer</t>
        </is>
      </c>
      <c r="H4" s="77" t="inlineStr">
        <is>
          <t>官方照錄</t>
        </is>
      </c>
      <c r="I4" s="77" t="inlineStr">
        <is>
          <t>Nominees selected through SNDAS by eight UGC-funded universities</t>
        </is>
      </c>
      <c r="J4" s="77" t="inlineStr">
        <is>
          <t>SNDAS-2026-COHORT5</t>
        </is>
      </c>
      <c r="K4" s="77" t="inlineStr">
        <is>
          <t>EDB press release, paragraph 2</t>
        </is>
      </c>
      <c r="L4" s="77" t="inlineStr">
        <is>
          <t>不是JUPAS Main Round offer，也不是已註冊人數。</t>
        </is>
      </c>
    </row>
    <row r="5" ht="30" customHeight="1">
      <c r="A5" s="78" t="inlineStr">
        <is>
          <t>SNDAS_FIFTH_ACCEPTED_OFFERS_2026</t>
        </is>
      </c>
      <c r="B5" s="78" t="inlineStr">
        <is>
          <t>2026 intake / 5th cohort</t>
        </is>
      </c>
      <c r="C5" s="78" t="inlineStr">
        <is>
          <t>firm offer acceptance</t>
        </is>
      </c>
      <c r="D5" s="78" t="inlineStr"/>
      <c r="E5" s="78" t="inlineStr"/>
      <c r="F5" s="78" t="inlineStr">
        <is>
          <t>319</t>
        </is>
      </c>
      <c r="G5" s="78" t="inlineStr">
        <is>
          <t>人</t>
        </is>
      </c>
      <c r="H5" s="78" t="inlineStr">
        <is>
          <t>官方照錄</t>
        </is>
      </c>
      <c r="I5" s="78" t="inlineStr">
        <is>
          <t>SNDAS nominees who accepted offers by the 2026 announcement</t>
        </is>
      </c>
      <c r="J5" s="78" t="inlineStr">
        <is>
          <t>SNDAS-2026-COHORT5</t>
        </is>
      </c>
      <c r="K5" s="78" t="inlineStr">
        <is>
          <t>EDB press release, paragraph 2</t>
        </is>
      </c>
      <c r="L5" s="78" t="inlineStr">
        <is>
          <t>官方公告稱將於2026年9月入讀；本指標是接受offer，不是已核實完成註冊／實際到校人數。</t>
        </is>
      </c>
    </row>
    <row r="6" ht="30" customHeight="1">
      <c r="A6" s="77" t="inlineStr">
        <is>
          <t>SNDAS_FIFTH_NOMINATION_TO_OFFER_RATE_2026</t>
        </is>
      </c>
      <c r="B6" s="77" t="inlineStr">
        <is>
          <t>2026 intake / 5th cohort</t>
        </is>
      </c>
      <c r="C6" s="77" t="inlineStr">
        <is>
          <t>valid nomination to firm offer</t>
        </is>
      </c>
      <c r="D6" s="77" t="inlineStr">
        <is>
          <t>325</t>
        </is>
      </c>
      <c r="E6" s="77" t="inlineStr">
        <is>
          <t>847</t>
        </is>
      </c>
      <c r="F6" s="77" t="inlineStr">
        <is>
          <t>38.37</t>
        </is>
      </c>
      <c r="G6" s="77" t="inlineStr">
        <is>
          <t>%</t>
        </is>
      </c>
      <c r="H6" s="77" t="inlineStr">
        <is>
          <t>研究者複算</t>
        </is>
      </c>
      <c r="I6" s="77" t="inlineStr">
        <is>
          <t>325 firm offers ÷ 847 valid nominations in the same SNDAS cohort</t>
        </is>
      </c>
      <c r="J6" s="77" t="inlineStr">
        <is>
          <t>SNDAS-2026-COHORT5</t>
        </is>
      </c>
      <c r="K6" s="77" t="inlineStr">
        <is>
          <t>paragraphs 1-2; formula 325/847</t>
        </is>
      </c>
      <c r="L6" s="77" t="inlineStr">
        <is>
          <t>只描述已由中學提名者的計劃內轉化；不是個人錄取機率或與JUPAS可比的錄取率。</t>
        </is>
      </c>
    </row>
    <row r="7" ht="30" customHeight="1">
      <c r="A7" s="78" t="inlineStr">
        <is>
          <t>SNDAS_FIFTH_OFFER_ACCEPTANCE_RATE_2026</t>
        </is>
      </c>
      <c r="B7" s="78" t="inlineStr">
        <is>
          <t>2026 intake / 5th cohort</t>
        </is>
      </c>
      <c r="C7" s="78" t="inlineStr">
        <is>
          <t>firm offer to accepted firm offer</t>
        </is>
      </c>
      <c r="D7" s="78" t="inlineStr">
        <is>
          <t>319</t>
        </is>
      </c>
      <c r="E7" s="78" t="inlineStr">
        <is>
          <t>325</t>
        </is>
      </c>
      <c r="F7" s="78" t="inlineStr">
        <is>
          <t>98.15</t>
        </is>
      </c>
      <c r="G7" s="78" t="inlineStr">
        <is>
          <t>%</t>
        </is>
      </c>
      <c r="H7" s="78" t="inlineStr">
        <is>
          <t>研究者複算</t>
        </is>
      </c>
      <c r="I7" s="78" t="inlineStr">
        <is>
          <t>319 accepted offers ÷ 325 SNDAS firm offers in the same cohort</t>
        </is>
      </c>
      <c r="J7" s="78" t="inlineStr">
        <is>
          <t>SNDAS-2026-COHORT5</t>
        </is>
      </c>
      <c r="K7" s="78" t="inlineStr">
        <is>
          <t>paragraph 2; formula 319/325</t>
        </is>
      </c>
      <c r="L7" s="78" t="inlineStr">
        <is>
          <t>是SNDAS offer接受比例；不是JUPAS繳費接受率，也不是註冊／實際入讀率。</t>
        </is>
      </c>
    </row>
    <row r="8" ht="30" customHeight="1">
      <c r="A8" s="77" t="inlineStr">
        <is>
          <t>SNDAS_DESIGNATED_PROGRAMMES_2027_28</t>
        </is>
      </c>
      <c r="B8" s="77" t="inlineStr">
        <is>
          <t>2027/28 intake / 6th cohort</t>
        </is>
      </c>
      <c r="C8" s="77" t="inlineStr">
        <is>
          <t>participating programme list</t>
        </is>
      </c>
      <c r="D8" s="77" t="inlineStr"/>
      <c r="E8" s="77" t="inlineStr"/>
      <c r="F8" s="77" t="inlineStr">
        <is>
          <t>316</t>
        </is>
      </c>
      <c r="G8" s="77" t="inlineStr">
        <is>
          <t>個課程</t>
        </is>
      </c>
      <c r="H8" s="77" t="inlineStr">
        <is>
          <t>官方照錄</t>
        </is>
      </c>
      <c r="I8" s="77" t="inlineStr">
        <is>
          <t>Publicly funded undergraduate programmes designated by eight UGC-funded universities</t>
        </is>
      </c>
      <c r="J8" s="77" t="inlineStr">
        <is>
          <t>SNDAS-2027-28-PROGRAMMES</t>
        </is>
      </c>
      <c r="K8" s="77" t="inlineStr">
        <is>
          <t>EDB designated programmes page, updated 2026-10-08</t>
        </is>
      </c>
      <c r="L8" s="77" t="inlineStr">
        <is>
          <t>課程數不是學額、offer數、學校提名額或可錄取學生數。</t>
        </is>
      </c>
    </row>
  </sheetData>
  <autoFilter ref="A1:L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18" customWidth="1" min="3" max="3"/>
    <col width="35" customWidth="1" min="4" max="4"/>
    <col width="82" customWidth="1" min="5" max="5"/>
    <col width="70" customWidth="1" min="6" max="6"/>
  </cols>
  <sheetData>
    <row r="1" ht="32" customHeight="1">
      <c r="A1" s="76" t="inlineStr">
        <is>
          <t>rule_id</t>
        </is>
      </c>
      <c r="B1" s="76" t="inlineStr">
        <is>
          <t>admissions_cycle</t>
        </is>
      </c>
      <c r="C1" s="76" t="inlineStr">
        <is>
          <t>rule_or_deadline</t>
        </is>
      </c>
      <c r="D1" s="76" t="inlineStr">
        <is>
          <t>official_value</t>
        </is>
      </c>
      <c r="E1" s="76" t="inlineStr">
        <is>
          <t>source_id</t>
        </is>
      </c>
      <c r="F1" s="76" t="inlineStr">
        <is>
          <t>caveat</t>
        </is>
      </c>
    </row>
    <row r="2" ht="30" customHeight="1">
      <c r="A2" s="77" t="inlineStr">
        <is>
          <t>SNDAS_2027_28_ELIGIBILITY</t>
        </is>
      </c>
      <c r="B2" s="77" t="inlineStr">
        <is>
          <t>2027/28</t>
        </is>
      </c>
      <c r="C2" s="77" t="inlineStr">
        <is>
          <t>學生資格</t>
        </is>
      </c>
      <c r="D2" s="77" t="inlineStr">
        <is>
          <t>本地學生修讀本地中學課程並應考2027 HKDSE；須同時經JUPAS報讀</t>
        </is>
      </c>
      <c r="E2" s="77" t="inlineStr">
        <is>
          <t>SNDAS-2027-28-ANNOUNCEMENT</t>
        </is>
      </c>
      <c r="F2" s="77" t="inlineStr">
        <is>
          <t>EDB對列入HKEAA HKDSE參與學校名單的內地港人子弟學校另有涵蓋說明；須逐項核對。</t>
        </is>
      </c>
    </row>
    <row r="3" ht="30" customHeight="1">
      <c r="A3" s="78" t="inlineStr">
        <is>
          <t>SNDAS_2027_28_NOMINATION_WINDOW</t>
        </is>
      </c>
      <c r="B3" s="78" t="inlineStr">
        <is>
          <t>2027/28</t>
        </is>
      </c>
      <c r="C3" s="78" t="inlineStr">
        <is>
          <t>中學提名期</t>
        </is>
      </c>
      <c r="D3" s="78" t="inlineStr">
        <is>
          <t>2026-10-07至2026-12-02</t>
        </is>
      </c>
      <c r="E3" s="78" t="inlineStr">
        <is>
          <t>SNDAS-2027-28-ANNOUNCEMENT</t>
        </is>
      </c>
      <c r="F3" s="78" t="inlineStr">
        <is>
          <t>以教育局當屆公告為準；截止前須由校長按課程要求提交。</t>
        </is>
      </c>
    </row>
    <row r="4" ht="30" customHeight="1">
      <c r="A4" s="77" t="inlineStr">
        <is>
          <t>SNDAS_2027_28_SCHOOL_QUOTA</t>
        </is>
      </c>
      <c r="B4" s="77" t="inlineStr">
        <is>
          <t>2027/28</t>
        </is>
      </c>
      <c r="C4" s="77" t="inlineStr">
        <is>
          <t>每所本地中學提名上限</t>
        </is>
      </c>
      <c r="D4" s="77" t="inlineStr">
        <is>
          <t>2名學生</t>
        </is>
      </c>
      <c r="E4" s="77" t="inlineStr">
        <is>
          <t>SNDAS-2027-28-ANNOUNCEMENT</t>
        </is>
      </c>
      <c r="F4" s="77" t="inlineStr">
        <is>
          <t>提名上限不是每校錄取名額；獲提名不代表獲offer。</t>
        </is>
      </c>
    </row>
    <row r="5" ht="30" customHeight="1">
      <c r="A5" s="78" t="inlineStr">
        <is>
          <t>SNDAS_2027_28_CHOICE_LIMIT</t>
        </is>
      </c>
      <c r="B5" s="78" t="inlineStr">
        <is>
          <t>2027/28</t>
        </is>
      </c>
      <c r="C5" s="78" t="inlineStr">
        <is>
          <t>每名獲提名學生可報讀</t>
        </is>
      </c>
      <c r="D5" s="78" t="inlineStr">
        <is>
          <t>1個指定UGC資助學士課程</t>
        </is>
      </c>
      <c r="E5" s="78" t="inlineStr">
        <is>
          <t>SNDAS-2027-28-FAQ</t>
        </is>
      </c>
      <c r="F5" s="78" t="inlineStr">
        <is>
          <t>須同時將該課程列入JUPAS的20個選擇；部分課程另要求Band A。</t>
        </is>
      </c>
    </row>
    <row r="6" ht="30" customHeight="1">
      <c r="A6" s="77" t="inlineStr">
        <is>
          <t>SNDAS_2027_28_BINDING_ACCEPTANCE</t>
        </is>
      </c>
      <c r="B6" s="77" t="inlineStr">
        <is>
          <t>2027/28</t>
        </is>
      </c>
      <c r="C6" s="77" t="inlineStr">
        <is>
          <t>接受直接錄取通知後</t>
        </is>
      </c>
      <c r="D6" s="77" t="inlineStr">
        <is>
          <t>錄取具約束力；不論HKDSE成績，其他課程不再考慮，JUPAS申請自動移除</t>
        </is>
      </c>
      <c r="E6" s="77" t="inlineStr">
        <is>
          <t>SNDAS-2027-28-FAQ</t>
        </is>
      </c>
      <c r="F6" s="77" t="inlineStr">
        <is>
          <t>未獲直接錄取或拒絕接受者，其JUPAS申請保留。</t>
        </is>
      </c>
    </row>
    <row r="7" ht="30" customHeight="1">
      <c r="A7" s="78" t="inlineStr">
        <is>
          <t>SNDAS_2027_28_PROGRAMME_COUNT</t>
        </is>
      </c>
      <c r="B7" s="78" t="inlineStr">
        <is>
          <t>2027/28</t>
        </is>
      </c>
      <c r="C7" s="78" t="inlineStr">
        <is>
          <t>指定參與課程數</t>
        </is>
      </c>
      <c r="D7" s="78" t="inlineStr">
        <is>
          <t>316個（EDB頁面更新至2026-10-08）</t>
        </is>
      </c>
      <c r="E7" s="78" t="inlineStr">
        <is>
          <t>SNDAS-2027-28-PROGRAMMES</t>
        </is>
      </c>
      <c r="F7" s="78" t="inlineStr">
        <is>
          <t>不是316個學額。</t>
        </is>
      </c>
    </row>
    <row r="8" ht="30" customHeight="1">
      <c r="A8" s="77" t="inlineStr">
        <is>
          <t>JUPAS_CATI5_2027_TRANSITION</t>
        </is>
      </c>
      <c r="B8" s="77" t="inlineStr">
        <is>
          <t>2027/28</t>
        </is>
      </c>
      <c r="C8" s="77" t="inlineStr">
        <is>
          <t>受養人簽證／進入許可CATI-5過渡居港條件</t>
        </is>
      </c>
      <c r="D8" s="77" t="inlineStr">
        <is>
          <t>CATI-5申請人須符合身份文件及居港要求；2027屆過渡期為2026-06-01至2027-05-31；以旅遊紀錄計算時每個適用年度離港日數不超過90日；2028年度起適用兩年期；可按要求提交學校就讀證明、入境處旅遊紀錄或兩者組合</t>
        </is>
      </c>
      <c r="E8" s="77" t="inlineStr">
        <is>
          <t>JUPAS-2027-ELIGIBILITY</t>
        </is>
      </c>
      <c r="F8" s="77" t="inlineStr">
        <is>
          <t>本欄只記錄居港期與證明途徑；各CATI類別的身份文件條件及個案資格須另按JUPAS官方文件核驗。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香港教育規劃｜中學後官方數據集 v0.9</dc:title>
  <dc:description xmlns:dc="http://purl.org/dc/elements/1.1/">基準日2026-10-10；保留來源分母、狀態及比較限制。</dc:description>
  <dc:subject xmlns:dc="http://purl.org/dc/elements/1.1/">HKDSE、JUPAS、EDB S6、UGC入讀途徑及SNDAS量化研究資料</dc:subject>
  <dcterms:created xmlns:dcterms="http://purl.org/dc/terms/" xmlns:xsi="http://www.w3.org/2001/XMLSchema-instance" xsi:type="dcterms:W3CDTF">2026-10-10T04:29:05Z</dcterms:created>
  <dcterms:modified xmlns:dcterms="http://purl.org/dc/terms/" xmlns:xsi="http://www.w3.org/2001/XMLSchema-instance" xsi:type="dcterms:W3CDTF">2026-10-10T04:29:05Z</dcterms:modified>
</cp:coreProperties>
</file>